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3.xml" ContentType="application/vnd.ms-excel.slicer+xml"/>
  <Override PartName="/xl/slicers/slicer4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slicers/slicer5.xml" ContentType="application/vnd.ms-excel.slicer+xml"/>
  <Override PartName="/xl/slicers/slicer6.xml" ContentType="application/vnd.ms-excel.slicer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ocuments\INGE 2\DATA\"/>
    </mc:Choice>
  </mc:AlternateContent>
  <xr:revisionPtr revIDLastSave="0" documentId="8_{F10C6669-53BD-412E-BB04-C2D1A6E959A5}" xr6:coauthVersionLast="47" xr6:coauthVersionMax="47" xr10:uidLastSave="{00000000-0000-0000-0000-000000000000}"/>
  <bookViews>
    <workbookView xWindow="-110" yWindow="-110" windowWidth="19420" windowHeight="11020" xr2:uid="{2F43B59A-29CA-466A-9B36-E961AA051D99}"/>
  </bookViews>
  <sheets>
    <sheet name="Statut Global" sheetId="4" r:id="rId1"/>
    <sheet name="TAF" sheetId="7" r:id="rId2"/>
    <sheet name="Clients" sheetId="21" r:id="rId3"/>
    <sheet name="Data" sheetId="26" r:id="rId4"/>
    <sheet name="traitement" sheetId="30" r:id="rId5"/>
  </sheets>
  <externalReferences>
    <externalReference r:id="rId6"/>
  </externalReferences>
  <definedNames>
    <definedName name="_xlnm._FilterDatabase" localSheetId="3" hidden="1">Data!$A$2:$AF$400</definedName>
    <definedName name="_xlnm._FilterDatabase" localSheetId="1" hidden="1">TAF!#REF!</definedName>
    <definedName name="CentreAffaireChellah">traitement!$A$203:$A$241</definedName>
    <definedName name="CentreAffairesAgdal">traitement!$A$48:$A$84</definedName>
    <definedName name="CentreAffairesAnfa">traitement!$A$86:$A$126</definedName>
    <definedName name="CentreAffairesBoughaz">traitement!$A$128:$A$163</definedName>
    <definedName name="CentreAffairesCentreVille">traitement!$A$165:$A$201</definedName>
    <definedName name="CentreAffairesGueliz">traitement!$A$243:$A$276</definedName>
    <definedName name="CentreAffairesHassan">traitement!$A$244:$A$293</definedName>
    <definedName name="CentreAffairesHivernage">traitement!$A$295:$A$336</definedName>
    <definedName name="CentreAffairesMaarif">traitement!$A$338:$A$375</definedName>
    <definedName name="CentreAffairesPalmier">traitement!$A$377:$A$420</definedName>
    <definedName name="clt">Data!$A$3:$A$400</definedName>
    <definedName name="cltt">traitement!$H$46:$H$143,traitement!$I$138:$I$237,traitement!$I$239:$I$337,traitement!$I$339:$I$438</definedName>
    <definedName name="colab2">traitement!$I$138:$I$237</definedName>
    <definedName name="colab3">traitement!$I$239:$I$337</definedName>
    <definedName name="colab4">traitement!$I$339:$I$438</definedName>
    <definedName name="gg">#REF!</definedName>
    <definedName name="jnr">traitement!$H$46:$H$143</definedName>
    <definedName name="Listedynamique">OFFSET([1]Feuille2!$A$2,#REF!, 0, COUNTA([1]Feuille2!$A:$A))</definedName>
    <definedName name="Num_Tiers">#REF!</definedName>
    <definedName name="Segment_Centre_Affaires">#N/A</definedName>
    <definedName name="Segment_Collaborateurs1">#N/A</definedName>
    <definedName name="Segment_Colonne1">#N/A</definedName>
    <definedName name="Segment_mois">#N/A</definedName>
    <definedName name="Segment_Numéro_Tiers">#N/A</definedName>
  </definedNames>
  <calcPr calcId="181029"/>
  <pivotCaches>
    <pivotCache cacheId="0" r:id="rId7"/>
    <pivotCache cacheId="11" r:id="rId8"/>
  </pivotCaches>
  <extLst>
    <ext xmlns:x14="http://schemas.microsoft.com/office/spreadsheetml/2009/9/main" uri="{876F7934-8845-4945-9796-88D515C7AA90}">
      <x14:pivotCaches>
        <pivotCache cacheId="2" r:id="rId9"/>
      </x14:pivotCaches>
    </ex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4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0" l="1"/>
  <c r="G4" i="30"/>
  <c r="V9" i="7"/>
  <c r="T5" i="30"/>
  <c r="AL2" i="30"/>
  <c r="T3" i="30"/>
  <c r="AL4" i="30"/>
  <c r="D3" i="30"/>
  <c r="W9" i="7" l="1"/>
  <c r="AE401" i="26"/>
  <c r="D5" i="30"/>
  <c r="AV4" i="30"/>
  <c r="AV3" i="30"/>
  <c r="K4" i="26" l="1"/>
  <c r="K5" i="26"/>
  <c r="K6" i="26"/>
  <c r="K7" i="26"/>
  <c r="K8" i="26"/>
  <c r="K9" i="26"/>
  <c r="K10" i="26"/>
  <c r="K11" i="26"/>
  <c r="K12" i="26"/>
  <c r="K13" i="26"/>
  <c r="K14" i="26"/>
  <c r="K15" i="26"/>
  <c r="K16" i="26"/>
  <c r="K17" i="26"/>
  <c r="K18" i="26"/>
  <c r="K19" i="26"/>
  <c r="K20" i="26"/>
  <c r="K21" i="26"/>
  <c r="K22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K52" i="26"/>
  <c r="K53" i="26"/>
  <c r="K54" i="26"/>
  <c r="K55" i="26"/>
  <c r="K56" i="26"/>
  <c r="K57" i="26"/>
  <c r="K58" i="26"/>
  <c r="K59" i="26"/>
  <c r="K60" i="26"/>
  <c r="K61" i="26"/>
  <c r="K62" i="26"/>
  <c r="K63" i="26"/>
  <c r="K64" i="26"/>
  <c r="K65" i="26"/>
  <c r="K66" i="26"/>
  <c r="K67" i="26"/>
  <c r="K68" i="26"/>
  <c r="K69" i="26"/>
  <c r="K70" i="26"/>
  <c r="K71" i="26"/>
  <c r="K72" i="26"/>
  <c r="K73" i="26"/>
  <c r="K74" i="26"/>
  <c r="K75" i="26"/>
  <c r="K76" i="26"/>
  <c r="K77" i="26"/>
  <c r="K78" i="26"/>
  <c r="K79" i="26"/>
  <c r="K80" i="26"/>
  <c r="K81" i="26"/>
  <c r="K82" i="26"/>
  <c r="K83" i="26"/>
  <c r="K84" i="26"/>
  <c r="K85" i="26"/>
  <c r="K86" i="26"/>
  <c r="K87" i="26"/>
  <c r="K88" i="26"/>
  <c r="K89" i="26"/>
  <c r="K90" i="26"/>
  <c r="K91" i="26"/>
  <c r="K92" i="26"/>
  <c r="K93" i="26"/>
  <c r="K94" i="26"/>
  <c r="K95" i="26"/>
  <c r="K96" i="26"/>
  <c r="K97" i="26"/>
  <c r="K98" i="26"/>
  <c r="K99" i="26"/>
  <c r="K100" i="26"/>
  <c r="K101" i="26"/>
  <c r="K102" i="26"/>
  <c r="K103" i="26"/>
  <c r="K104" i="26"/>
  <c r="K105" i="26"/>
  <c r="K106" i="26"/>
  <c r="K107" i="26"/>
  <c r="K108" i="26"/>
  <c r="K109" i="26"/>
  <c r="K110" i="26"/>
  <c r="K111" i="26"/>
  <c r="K112" i="26"/>
  <c r="K113" i="26"/>
  <c r="K114" i="26"/>
  <c r="K115" i="26"/>
  <c r="K116" i="26"/>
  <c r="K117" i="26"/>
  <c r="K118" i="26"/>
  <c r="K119" i="26"/>
  <c r="K120" i="26"/>
  <c r="K121" i="26"/>
  <c r="K122" i="26"/>
  <c r="K123" i="26"/>
  <c r="K124" i="26"/>
  <c r="K125" i="26"/>
  <c r="K126" i="26"/>
  <c r="K127" i="26"/>
  <c r="K128" i="26"/>
  <c r="K129" i="26"/>
  <c r="K130" i="26"/>
  <c r="K131" i="26"/>
  <c r="K132" i="26"/>
  <c r="K133" i="26"/>
  <c r="K134" i="26"/>
  <c r="K135" i="26"/>
  <c r="K136" i="26"/>
  <c r="K137" i="26"/>
  <c r="K138" i="26"/>
  <c r="K139" i="26"/>
  <c r="K140" i="26"/>
  <c r="K141" i="26"/>
  <c r="K142" i="26"/>
  <c r="K143" i="26"/>
  <c r="K144" i="26"/>
  <c r="K145" i="26"/>
  <c r="K146" i="26"/>
  <c r="K147" i="26"/>
  <c r="K148" i="26"/>
  <c r="K149" i="26"/>
  <c r="K150" i="26"/>
  <c r="K151" i="26"/>
  <c r="K152" i="26"/>
  <c r="K153" i="26"/>
  <c r="K154" i="26"/>
  <c r="K155" i="26"/>
  <c r="K156" i="26"/>
  <c r="K157" i="26"/>
  <c r="K158" i="26"/>
  <c r="K159" i="26"/>
  <c r="K160" i="26"/>
  <c r="K161" i="26"/>
  <c r="K162" i="26"/>
  <c r="K163" i="26"/>
  <c r="K164" i="26"/>
  <c r="K165" i="26"/>
  <c r="K166" i="26"/>
  <c r="K167" i="26"/>
  <c r="K168" i="26"/>
  <c r="K169" i="26"/>
  <c r="K170" i="26"/>
  <c r="K171" i="26"/>
  <c r="K172" i="26"/>
  <c r="K173" i="26"/>
  <c r="K174" i="26"/>
  <c r="K175" i="26"/>
  <c r="K176" i="26"/>
  <c r="K177" i="26"/>
  <c r="K178" i="26"/>
  <c r="K179" i="26"/>
  <c r="K180" i="26"/>
  <c r="K181" i="26"/>
  <c r="K182" i="26"/>
  <c r="K183" i="26"/>
  <c r="K184" i="26"/>
  <c r="K185" i="26"/>
  <c r="K186" i="26"/>
  <c r="K187" i="26"/>
  <c r="K188" i="26"/>
  <c r="K189" i="26"/>
  <c r="K190" i="26"/>
  <c r="K191" i="26"/>
  <c r="K192" i="26"/>
  <c r="K193" i="26"/>
  <c r="K194" i="26"/>
  <c r="K195" i="26"/>
  <c r="K196" i="26"/>
  <c r="K197" i="26"/>
  <c r="K198" i="26"/>
  <c r="K199" i="26"/>
  <c r="K200" i="26"/>
  <c r="K201" i="26"/>
  <c r="K202" i="26"/>
  <c r="K203" i="26"/>
  <c r="K204" i="26"/>
  <c r="K205" i="26"/>
  <c r="K206" i="26"/>
  <c r="K207" i="26"/>
  <c r="K208" i="26"/>
  <c r="K209" i="26"/>
  <c r="K210" i="26"/>
  <c r="K211" i="26"/>
  <c r="K212" i="26"/>
  <c r="K213" i="26"/>
  <c r="K214" i="26"/>
  <c r="K215" i="26"/>
  <c r="K216" i="26"/>
  <c r="K217" i="26"/>
  <c r="K218" i="26"/>
  <c r="K219" i="26"/>
  <c r="K220" i="26"/>
  <c r="K221" i="26"/>
  <c r="K222" i="26"/>
  <c r="K223" i="26"/>
  <c r="K224" i="26"/>
  <c r="K225" i="26"/>
  <c r="K226" i="26"/>
  <c r="K227" i="26"/>
  <c r="K228" i="26"/>
  <c r="K229" i="26"/>
  <c r="K230" i="26"/>
  <c r="K231" i="26"/>
  <c r="K232" i="26"/>
  <c r="K233" i="26"/>
  <c r="K234" i="26"/>
  <c r="K235" i="26"/>
  <c r="K236" i="26"/>
  <c r="K237" i="26"/>
  <c r="K238" i="26"/>
  <c r="K239" i="26"/>
  <c r="K240" i="26"/>
  <c r="K241" i="26"/>
  <c r="K242" i="26"/>
  <c r="K243" i="26"/>
  <c r="K244" i="26"/>
  <c r="K245" i="26"/>
  <c r="K246" i="26"/>
  <c r="K247" i="26"/>
  <c r="K248" i="26"/>
  <c r="K249" i="26"/>
  <c r="K250" i="26"/>
  <c r="K251" i="26"/>
  <c r="K252" i="26"/>
  <c r="K253" i="26"/>
  <c r="K254" i="26"/>
  <c r="K255" i="26"/>
  <c r="K256" i="26"/>
  <c r="K257" i="26"/>
  <c r="K258" i="26"/>
  <c r="K259" i="26"/>
  <c r="K260" i="26"/>
  <c r="K261" i="26"/>
  <c r="K262" i="26"/>
  <c r="K263" i="26"/>
  <c r="K264" i="26"/>
  <c r="K265" i="26"/>
  <c r="K266" i="26"/>
  <c r="K267" i="26"/>
  <c r="K268" i="26"/>
  <c r="K269" i="26"/>
  <c r="K270" i="26"/>
  <c r="K271" i="26"/>
  <c r="K272" i="26"/>
  <c r="K273" i="26"/>
  <c r="K274" i="26"/>
  <c r="K275" i="26"/>
  <c r="K276" i="26"/>
  <c r="K277" i="26"/>
  <c r="K278" i="26"/>
  <c r="K279" i="26"/>
  <c r="K280" i="26"/>
  <c r="K281" i="26"/>
  <c r="K282" i="26"/>
  <c r="K283" i="26"/>
  <c r="K284" i="26"/>
  <c r="K285" i="26"/>
  <c r="K286" i="26"/>
  <c r="K287" i="26"/>
  <c r="K288" i="26"/>
  <c r="K289" i="26"/>
  <c r="K290" i="26"/>
  <c r="K291" i="26"/>
  <c r="K292" i="26"/>
  <c r="K293" i="26"/>
  <c r="K294" i="26"/>
  <c r="K295" i="26"/>
  <c r="K296" i="26"/>
  <c r="K297" i="26"/>
  <c r="K298" i="26"/>
  <c r="K299" i="26"/>
  <c r="K300" i="26"/>
  <c r="K301" i="26"/>
  <c r="K302" i="26"/>
  <c r="K303" i="26"/>
  <c r="K304" i="26"/>
  <c r="K305" i="26"/>
  <c r="K306" i="26"/>
  <c r="K307" i="26"/>
  <c r="K308" i="26"/>
  <c r="K309" i="26"/>
  <c r="K310" i="26"/>
  <c r="K311" i="26"/>
  <c r="K312" i="26"/>
  <c r="K313" i="26"/>
  <c r="K314" i="26"/>
  <c r="K315" i="26"/>
  <c r="K316" i="26"/>
  <c r="K317" i="26"/>
  <c r="K318" i="26"/>
  <c r="K319" i="26"/>
  <c r="K320" i="26"/>
  <c r="K321" i="26"/>
  <c r="K322" i="26"/>
  <c r="K323" i="26"/>
  <c r="K324" i="26"/>
  <c r="K325" i="26"/>
  <c r="K326" i="26"/>
  <c r="K327" i="26"/>
  <c r="K328" i="26"/>
  <c r="K329" i="26"/>
  <c r="K330" i="26"/>
  <c r="K331" i="26"/>
  <c r="K332" i="26"/>
  <c r="K333" i="26"/>
  <c r="K334" i="26"/>
  <c r="K335" i="26"/>
  <c r="K336" i="26"/>
  <c r="K337" i="26"/>
  <c r="K338" i="26"/>
  <c r="K339" i="26"/>
  <c r="K340" i="26"/>
  <c r="K341" i="26"/>
  <c r="K342" i="26"/>
  <c r="K343" i="26"/>
  <c r="K344" i="26"/>
  <c r="K345" i="26"/>
  <c r="K346" i="26"/>
  <c r="K347" i="26"/>
  <c r="K348" i="26"/>
  <c r="K349" i="26"/>
  <c r="K350" i="26"/>
  <c r="K351" i="26"/>
  <c r="K352" i="26"/>
  <c r="K353" i="26"/>
  <c r="K354" i="26"/>
  <c r="K355" i="26"/>
  <c r="K356" i="26"/>
  <c r="K357" i="26"/>
  <c r="K358" i="26"/>
  <c r="K359" i="26"/>
  <c r="K360" i="26"/>
  <c r="K361" i="26"/>
  <c r="K362" i="26"/>
  <c r="K363" i="26"/>
  <c r="K364" i="26"/>
  <c r="K365" i="26"/>
  <c r="K366" i="26"/>
  <c r="K367" i="26"/>
  <c r="K368" i="26"/>
  <c r="K369" i="26"/>
  <c r="K370" i="26"/>
  <c r="K371" i="26"/>
  <c r="K372" i="26"/>
  <c r="K373" i="26"/>
  <c r="K374" i="26"/>
  <c r="K375" i="26"/>
  <c r="K376" i="26"/>
  <c r="K377" i="26"/>
  <c r="K378" i="26"/>
  <c r="K379" i="26"/>
  <c r="K380" i="26"/>
  <c r="K381" i="26"/>
  <c r="K382" i="26"/>
  <c r="K383" i="26"/>
  <c r="K384" i="26"/>
  <c r="K385" i="26"/>
  <c r="K386" i="26"/>
  <c r="K387" i="26"/>
  <c r="K388" i="26"/>
  <c r="K389" i="26"/>
  <c r="K390" i="26"/>
  <c r="K391" i="26"/>
  <c r="K392" i="26"/>
  <c r="K393" i="26"/>
  <c r="K394" i="26"/>
  <c r="K395" i="26"/>
  <c r="K396" i="26"/>
  <c r="K397" i="26"/>
  <c r="K398" i="26"/>
  <c r="K399" i="26"/>
  <c r="K400" i="26"/>
  <c r="K3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E50110-AAA0-422C-BC92-22E1F95499AD}" keepAlive="1" name="Requête - Tableau1" description="Connexion à la requête « Tableau1 » dans le classeur." type="5" refreshedVersion="8" background="1" saveData="1">
    <dbPr connection="Provider=Microsoft.Mashup.OleDb.1;Data Source=$Workbook$;Location=Tableau1;Extended Properties=&quot;&quot;" command="SELECT * FROM [Tableau1]"/>
  </connection>
</connections>
</file>

<file path=xl/sharedStrings.xml><?xml version="1.0" encoding="utf-8"?>
<sst xmlns="http://schemas.openxmlformats.org/spreadsheetml/2006/main" count="6505" uniqueCount="1300">
  <si>
    <t>Étiquettes de lignes</t>
  </si>
  <si>
    <t>Total général</t>
  </si>
  <si>
    <t>Echue</t>
  </si>
  <si>
    <t>OK</t>
  </si>
  <si>
    <t>KO</t>
  </si>
  <si>
    <t>Numéro Tiers</t>
  </si>
  <si>
    <t>Numéro Crédit Bancaire</t>
  </si>
  <si>
    <t>Date Envoi CCG 2024</t>
  </si>
  <si>
    <t>Montant Ligne</t>
  </si>
  <si>
    <t>Date Paiement Commission 2024</t>
  </si>
  <si>
    <t>Statut Acte Physique</t>
  </si>
  <si>
    <t>Compte BC</t>
  </si>
  <si>
    <t>Quotité</t>
  </si>
  <si>
    <t>Montant Garantie</t>
  </si>
  <si>
    <t>Échéance Garantie</t>
  </si>
  <si>
    <t>Commission Payée</t>
  </si>
  <si>
    <t>Nom Affaire</t>
  </si>
  <si>
    <t>Date Échéance</t>
  </si>
  <si>
    <t>Statut Commission</t>
  </si>
  <si>
    <t>Dernier Propriétaire 2024</t>
  </si>
  <si>
    <t>Montant Commission 2024</t>
  </si>
  <si>
    <t>Num Acte 2024</t>
  </si>
  <si>
    <t>Statut Garantie</t>
  </si>
  <si>
    <t>Centre Affaires</t>
  </si>
  <si>
    <t>Date Proprio 2024</t>
  </si>
  <si>
    <t>Infos Clients</t>
  </si>
  <si>
    <t>Ancien Acte</t>
  </si>
  <si>
    <t>REN/MEP</t>
  </si>
  <si>
    <t>Date accord</t>
  </si>
  <si>
    <t>Date Règlement Commission</t>
  </si>
  <si>
    <t>Acte 2024</t>
  </si>
  <si>
    <t>Responsable CAF CCG 2024</t>
  </si>
  <si>
    <t>Statut</t>
  </si>
  <si>
    <t>Identifiant Crédit 2024</t>
  </si>
  <si>
    <t>Statut final</t>
  </si>
  <si>
    <t>Statut acte physique 2</t>
  </si>
  <si>
    <t>Info supplémentaires</t>
  </si>
  <si>
    <t>Acte Valide+comission payé+annexe</t>
  </si>
  <si>
    <t xml:space="preserve">Flag a renouveller </t>
  </si>
  <si>
    <t>Montant lignes</t>
  </si>
  <si>
    <t>Montant garanties</t>
  </si>
  <si>
    <t>2M Atlas</t>
  </si>
  <si>
    <t>BMCE Bank</t>
  </si>
  <si>
    <t>OCP Group</t>
  </si>
  <si>
    <t>Maroc Telecom</t>
  </si>
  <si>
    <t>Managem</t>
  </si>
  <si>
    <t>Cosumar</t>
  </si>
  <si>
    <t>Maghreb Steel</t>
  </si>
  <si>
    <t>Ciments du Maroc</t>
  </si>
  <si>
    <t>Banque Populaire</t>
  </si>
  <si>
    <t>Société Générale Maroc</t>
  </si>
  <si>
    <t>Centre Affaires Anfa</t>
  </si>
  <si>
    <t>Centre Affaires Centre Ville</t>
  </si>
  <si>
    <t>Centre Affaires Maarif</t>
  </si>
  <si>
    <t>Centre Affaires Agdal</t>
  </si>
  <si>
    <t>Centre Affaires Gueliz</t>
  </si>
  <si>
    <t>Centre Affaires Boughaz</t>
  </si>
  <si>
    <t>Centre Affaires Hassan</t>
  </si>
  <si>
    <t>Centre Affaires Hivernage</t>
  </si>
  <si>
    <t>Centre Affaires Chellah</t>
  </si>
  <si>
    <t>Centre Affaires Palmier</t>
  </si>
  <si>
    <t>41264/2023/1</t>
  </si>
  <si>
    <t>21328/2023/1</t>
  </si>
  <si>
    <t>53539/2023/1</t>
  </si>
  <si>
    <t>11143/2023/1</t>
  </si>
  <si>
    <t>21554/2023/1</t>
  </si>
  <si>
    <t>78467/2023/1</t>
  </si>
  <si>
    <t>83621/2023/1</t>
  </si>
  <si>
    <t>75836/2023/1</t>
  </si>
  <si>
    <t>68851/2023/1</t>
  </si>
  <si>
    <t>29259/2023/1</t>
  </si>
  <si>
    <t>61217/2023/1</t>
  </si>
  <si>
    <t>40972/2023/1</t>
  </si>
  <si>
    <t>79151/2023/1</t>
  </si>
  <si>
    <t>90406/2023/1</t>
  </si>
  <si>
    <t>62668/2023/1</t>
  </si>
  <si>
    <t>60893/2023/1</t>
  </si>
  <si>
    <t>23878/2023/1</t>
  </si>
  <si>
    <t>49412/2023/1</t>
  </si>
  <si>
    <t>84393/2023/1</t>
  </si>
  <si>
    <t>30956/2023/1</t>
  </si>
  <si>
    <t>33934/2023/1</t>
  </si>
  <si>
    <t>46592/2023/1</t>
  </si>
  <si>
    <t>83850/2023/1</t>
  </si>
  <si>
    <t>25305/2023/1</t>
  </si>
  <si>
    <t>73630/2023/1</t>
  </si>
  <si>
    <t>64808/2023/1</t>
  </si>
  <si>
    <t>36107/2023/1</t>
  </si>
  <si>
    <t>59999/2023/1</t>
  </si>
  <si>
    <t>95718/2023/1</t>
  </si>
  <si>
    <t>52938/2023/1</t>
  </si>
  <si>
    <t>43478/2023/1</t>
  </si>
  <si>
    <t>61149/2023/1</t>
  </si>
  <si>
    <t>54274/2023/1</t>
  </si>
  <si>
    <t>45281/2023/1</t>
  </si>
  <si>
    <t>47933/2023/1</t>
  </si>
  <si>
    <t>73359/2023/1</t>
  </si>
  <si>
    <t>49736/2023/1</t>
  </si>
  <si>
    <t>68698/2023/1</t>
  </si>
  <si>
    <t>58242/2023/1</t>
  </si>
  <si>
    <t>88526/2023/1</t>
  </si>
  <si>
    <t>38591/2023/1</t>
  </si>
  <si>
    <t>55478/2023/1</t>
  </si>
  <si>
    <t>25698/2023/1</t>
  </si>
  <si>
    <t>62591/2023/1</t>
  </si>
  <si>
    <t>19189/2023/1</t>
  </si>
  <si>
    <t>11970/2023/1</t>
  </si>
  <si>
    <t>41892/2023/1</t>
  </si>
  <si>
    <t>55313/2023/1</t>
  </si>
  <si>
    <t>18670/2023/1</t>
  </si>
  <si>
    <t>78326/2023/1</t>
  </si>
  <si>
    <t>81497/2023/1</t>
  </si>
  <si>
    <t>32965/2023/1</t>
  </si>
  <si>
    <t>24651/2023/1</t>
  </si>
  <si>
    <t>57557/2023/1</t>
  </si>
  <si>
    <t>65318/2023/1</t>
  </si>
  <si>
    <t>53669/2023/1</t>
  </si>
  <si>
    <t>89469/2023/1</t>
  </si>
  <si>
    <t>85214/2023/1</t>
  </si>
  <si>
    <t>95185/2023/1</t>
  </si>
  <si>
    <t>27284/2023/1</t>
  </si>
  <si>
    <t>94054/2023/1</t>
  </si>
  <si>
    <t>60914/2023/1</t>
  </si>
  <si>
    <t>24366/2023/1</t>
  </si>
  <si>
    <t>76277/2023/1</t>
  </si>
  <si>
    <t>24392/2023/1</t>
  </si>
  <si>
    <t>53486/2023/1</t>
  </si>
  <si>
    <t>54343/2023/1</t>
  </si>
  <si>
    <t>33349/2023/1</t>
  </si>
  <si>
    <t>29942/2023/1</t>
  </si>
  <si>
    <t>86891/2023/1</t>
  </si>
  <si>
    <t>77429/2023/1</t>
  </si>
  <si>
    <t>53757/2023/1</t>
  </si>
  <si>
    <t>89232/2023/1</t>
  </si>
  <si>
    <t>75707/2023/1</t>
  </si>
  <si>
    <t>75618/2023/1</t>
  </si>
  <si>
    <t>17959/2023/1</t>
  </si>
  <si>
    <t>71249/2023/1</t>
  </si>
  <si>
    <t>95529/2023/1</t>
  </si>
  <si>
    <t>57877/2023/1</t>
  </si>
  <si>
    <t>24264/2023/1</t>
  </si>
  <si>
    <t>99048/2023/1</t>
  </si>
  <si>
    <t>11861/2023/1</t>
  </si>
  <si>
    <t>98710/2023/1</t>
  </si>
  <si>
    <t>44210/2023/1</t>
  </si>
  <si>
    <t>65264/2023/1</t>
  </si>
  <si>
    <t>50502/2023/1</t>
  </si>
  <si>
    <t>18728/2023/1</t>
  </si>
  <si>
    <t>88042/2023/1</t>
  </si>
  <si>
    <t>30356/2023/1</t>
  </si>
  <si>
    <t>65917/2023/1</t>
  </si>
  <si>
    <t>11962/2023/1</t>
  </si>
  <si>
    <t>55309/2023/1</t>
  </si>
  <si>
    <t>18268/2023/1</t>
  </si>
  <si>
    <t>74211/2023/1</t>
  </si>
  <si>
    <t>74754/2023/1</t>
  </si>
  <si>
    <t>40412/2023/1</t>
  </si>
  <si>
    <t>48554/2023/1</t>
  </si>
  <si>
    <t>18332/2023/1</t>
  </si>
  <si>
    <t>56816/2023/1</t>
  </si>
  <si>
    <t>94833/2023/1</t>
  </si>
  <si>
    <t>65008/2023/1</t>
  </si>
  <si>
    <t>45388/2023/1</t>
  </si>
  <si>
    <t>77521/2023/1</t>
  </si>
  <si>
    <t>90281/2023/1</t>
  </si>
  <si>
    <t>49787/2023/1</t>
  </si>
  <si>
    <t>13010/2023/1</t>
  </si>
  <si>
    <t>56056/2023/1</t>
  </si>
  <si>
    <t>48648/2023/1</t>
  </si>
  <si>
    <t>96126/2023/1</t>
  </si>
  <si>
    <t>86130/2023/1</t>
  </si>
  <si>
    <t>60539/2023/1</t>
  </si>
  <si>
    <t>69257/2023/1</t>
  </si>
  <si>
    <t>54298/2023/1</t>
  </si>
  <si>
    <t>60074/2023/1</t>
  </si>
  <si>
    <t>40962/2023/1</t>
  </si>
  <si>
    <t>65405/2023/1</t>
  </si>
  <si>
    <t>18529/2023/1</t>
  </si>
  <si>
    <t>19248/2023/1</t>
  </si>
  <si>
    <t>52377/2023/1</t>
  </si>
  <si>
    <t>40901/2023/1</t>
  </si>
  <si>
    <t>16226/2023/1</t>
  </si>
  <si>
    <t>66772/2023/1</t>
  </si>
  <si>
    <t>82515/2023/1</t>
  </si>
  <si>
    <t>82811/2023/1</t>
  </si>
  <si>
    <t>18534/2023/1</t>
  </si>
  <si>
    <t>67541/2023/1</t>
  </si>
  <si>
    <t>20535/2023/1</t>
  </si>
  <si>
    <t>68130/2023/1</t>
  </si>
  <si>
    <t>39174/2023/1</t>
  </si>
  <si>
    <t>70451/2023/1</t>
  </si>
  <si>
    <t>57046/2023/1</t>
  </si>
  <si>
    <t>79136/2023/1</t>
  </si>
  <si>
    <t>53278/2023/1</t>
  </si>
  <si>
    <t>32015/2023/1</t>
  </si>
  <si>
    <t>45435/2023/1</t>
  </si>
  <si>
    <t>78941/2023/1</t>
  </si>
  <si>
    <t>85761/2023/1</t>
  </si>
  <si>
    <t>63653/2023/1</t>
  </si>
  <si>
    <t>77276/2023/1</t>
  </si>
  <si>
    <t>45528/2023/1</t>
  </si>
  <si>
    <t>44762/2023/1</t>
  </si>
  <si>
    <t>76470/2023/1</t>
  </si>
  <si>
    <t>51929/2023/1</t>
  </si>
  <si>
    <t>48973/2023/1</t>
  </si>
  <si>
    <t>71442/2023/1</t>
  </si>
  <si>
    <t>52274/2023/1</t>
  </si>
  <si>
    <t>25272/2023/1</t>
  </si>
  <si>
    <t>25589/2023/1</t>
  </si>
  <si>
    <t>37267/2023/1</t>
  </si>
  <si>
    <t>10632/2023/1</t>
  </si>
  <si>
    <t>55409/2023/1</t>
  </si>
  <si>
    <t>43603/2023/1</t>
  </si>
  <si>
    <t>53496/2023/1</t>
  </si>
  <si>
    <t>86901/2023/1</t>
  </si>
  <si>
    <t>46178/2023/1</t>
  </si>
  <si>
    <t>37156/2023/1</t>
  </si>
  <si>
    <t>95134/2023/1</t>
  </si>
  <si>
    <t>73351/2023/1</t>
  </si>
  <si>
    <t>49348/2023/1</t>
  </si>
  <si>
    <t>35026/2023/1</t>
  </si>
  <si>
    <t>38462/2023/1</t>
  </si>
  <si>
    <t>36158/2023/1</t>
  </si>
  <si>
    <t>36099/2023/1</t>
  </si>
  <si>
    <t>31172/2023/1</t>
  </si>
  <si>
    <t>32879/2023/1</t>
  </si>
  <si>
    <t>41470/2023/1</t>
  </si>
  <si>
    <t>26442/2023/1</t>
  </si>
  <si>
    <t>69527/2023/1</t>
  </si>
  <si>
    <t>24311/2023/1</t>
  </si>
  <si>
    <t>14829/2023/1</t>
  </si>
  <si>
    <t>35988/2023/1</t>
  </si>
  <si>
    <t>38915/2023/1</t>
  </si>
  <si>
    <t>43461/2023/1</t>
  </si>
  <si>
    <t>77052/2023/1</t>
  </si>
  <si>
    <t>30073/2023/1</t>
  </si>
  <si>
    <t>72436/2023/1</t>
  </si>
  <si>
    <t>30653/2023/1</t>
  </si>
  <si>
    <t>34362/2023/1</t>
  </si>
  <si>
    <t>18664/2023/1</t>
  </si>
  <si>
    <t>62184/2023/1</t>
  </si>
  <si>
    <t>22721/2023/1</t>
  </si>
  <si>
    <t>27961/2023/1</t>
  </si>
  <si>
    <t>73163/2023/1</t>
  </si>
  <si>
    <t>90024/2023/1</t>
  </si>
  <si>
    <t>24950/2023/1</t>
  </si>
  <si>
    <t>49583/2023/1</t>
  </si>
  <si>
    <t>49455/2023/1</t>
  </si>
  <si>
    <t>36105/2023/1</t>
  </si>
  <si>
    <t>70968/2023/1</t>
  </si>
  <si>
    <t>31795/2023/1</t>
  </si>
  <si>
    <t>81883/2023/1</t>
  </si>
  <si>
    <t>91218/2023/1</t>
  </si>
  <si>
    <t>62059/2023/1</t>
  </si>
  <si>
    <t>95363/2023/1</t>
  </si>
  <si>
    <t>94710/2023/1</t>
  </si>
  <si>
    <t>97551/2023/1</t>
  </si>
  <si>
    <t>38404/2023/1</t>
  </si>
  <si>
    <t>55575/2023/1</t>
  </si>
  <si>
    <t>43512/2023/1</t>
  </si>
  <si>
    <t>25930/2023/1</t>
  </si>
  <si>
    <t>63341/2023/1</t>
  </si>
  <si>
    <t>95780/2023/1</t>
  </si>
  <si>
    <t>76543/2023/1</t>
  </si>
  <si>
    <t>80933/2023/1</t>
  </si>
  <si>
    <t>10365/2023/1</t>
  </si>
  <si>
    <t>23152/2023/1</t>
  </si>
  <si>
    <t>72724/2023/1</t>
  </si>
  <si>
    <t>11017/2023/1</t>
  </si>
  <si>
    <t>69071/2023/1</t>
  </si>
  <si>
    <t>88872/2023/1</t>
  </si>
  <si>
    <t>10713/2023/1</t>
  </si>
  <si>
    <t>25029/2023/1</t>
  </si>
  <si>
    <t>86301/2023/1</t>
  </si>
  <si>
    <t>73792/2023/1</t>
  </si>
  <si>
    <t>62549/2023/1</t>
  </si>
  <si>
    <t>76414/2023/1</t>
  </si>
  <si>
    <t>84758/2023/1</t>
  </si>
  <si>
    <t>36373/2023/1</t>
  </si>
  <si>
    <t>98993/2023/1</t>
  </si>
  <si>
    <t>27602/2023/1</t>
  </si>
  <si>
    <t>62607/2023/1</t>
  </si>
  <si>
    <t>90862/2023/1</t>
  </si>
  <si>
    <t>78682/2023/1</t>
  </si>
  <si>
    <t>50024/2023/1</t>
  </si>
  <si>
    <t>81196/2023/1</t>
  </si>
  <si>
    <t>80263/2023/1</t>
  </si>
  <si>
    <t>65987/2023/1</t>
  </si>
  <si>
    <t>93640/2023/1</t>
  </si>
  <si>
    <t>22179/2023/1</t>
  </si>
  <si>
    <t>18783/2023/1</t>
  </si>
  <si>
    <t>43203/2023/1</t>
  </si>
  <si>
    <t>14176/2023/1</t>
  </si>
  <si>
    <t>21183/2023/1</t>
  </si>
  <si>
    <t>54966/2023/1</t>
  </si>
  <si>
    <t>24654/2023/1</t>
  </si>
  <si>
    <t>28791/2023/1</t>
  </si>
  <si>
    <t>55811/2023/1</t>
  </si>
  <si>
    <t>48802/2023/1</t>
  </si>
  <si>
    <t>12750/2023/1</t>
  </si>
  <si>
    <t>20754/2023/1</t>
  </si>
  <si>
    <t>55408/2023/1</t>
  </si>
  <si>
    <t>95059/2023/1</t>
  </si>
  <si>
    <t>41022/2023/1</t>
  </si>
  <si>
    <t>22406/2023/1</t>
  </si>
  <si>
    <t>91850/2023/1</t>
  </si>
  <si>
    <t>50665/2023/1</t>
  </si>
  <si>
    <t>27182/2023/1</t>
  </si>
  <si>
    <t>47237/2023/1</t>
  </si>
  <si>
    <t>15626/2023/1</t>
  </si>
  <si>
    <t>27897/2023/1</t>
  </si>
  <si>
    <t>63617/2023/1</t>
  </si>
  <si>
    <t>35644/2023/1</t>
  </si>
  <si>
    <t>65353/2023/1</t>
  </si>
  <si>
    <t>79407/2023/1</t>
  </si>
  <si>
    <t>63828/2023/1</t>
  </si>
  <si>
    <t>28144/2023/1</t>
  </si>
  <si>
    <t>56067/2023/1</t>
  </si>
  <si>
    <t>24799/2023/1</t>
  </si>
  <si>
    <t>71533/2023/1</t>
  </si>
  <si>
    <t>25358/2023/1</t>
  </si>
  <si>
    <t>68703/2023/1</t>
  </si>
  <si>
    <t>46878/2023/1</t>
  </si>
  <si>
    <t>22297/2023/1</t>
  </si>
  <si>
    <t>75669/2023/1</t>
  </si>
  <si>
    <t>89501/2023/1</t>
  </si>
  <si>
    <t>51503/2023/1</t>
  </si>
  <si>
    <t>60950/2023/1</t>
  </si>
  <si>
    <t>30210/2023/1</t>
  </si>
  <si>
    <t>10618/2023/1</t>
  </si>
  <si>
    <t>41860/2023/1</t>
  </si>
  <si>
    <t>14704/2023/1</t>
  </si>
  <si>
    <t>66221/2023/1</t>
  </si>
  <si>
    <t>54105/2023/1</t>
  </si>
  <si>
    <t>65343/2023/1</t>
  </si>
  <si>
    <t>87516/2023/1</t>
  </si>
  <si>
    <t>37261/2023/1</t>
  </si>
  <si>
    <t>21648/2023/1</t>
  </si>
  <si>
    <t>88263/2023/1</t>
  </si>
  <si>
    <t>84967/2023/1</t>
  </si>
  <si>
    <t>35576/2023/1</t>
  </si>
  <si>
    <t>29275/2023/1</t>
  </si>
  <si>
    <t>54900/2023/1</t>
  </si>
  <si>
    <t>81366/2023/1</t>
  </si>
  <si>
    <t>45578/2023/1</t>
  </si>
  <si>
    <t>98206/2023/1</t>
  </si>
  <si>
    <t>67092/2023/1</t>
  </si>
  <si>
    <t>97915/2023/1</t>
  </si>
  <si>
    <t>57320/2023/1</t>
  </si>
  <si>
    <t>68187/2023/1</t>
  </si>
  <si>
    <t>83376/2023/1</t>
  </si>
  <si>
    <t>86681/2023/1</t>
  </si>
  <si>
    <t>94551/2023/1</t>
  </si>
  <si>
    <t>36901/2023/1</t>
  </si>
  <si>
    <t>70367/2023/1</t>
  </si>
  <si>
    <t>48305/2023/1</t>
  </si>
  <si>
    <t>76586/2023/1</t>
  </si>
  <si>
    <t>60855/2023/1</t>
  </si>
  <si>
    <t>33270/2023/1</t>
  </si>
  <si>
    <t>13929/2023/1</t>
  </si>
  <si>
    <t>31627/2023/1</t>
  </si>
  <si>
    <t>66998/2023/1</t>
  </si>
  <si>
    <t>91779/2023/1</t>
  </si>
  <si>
    <t>44947/2023/1</t>
  </si>
  <si>
    <t>96940/2023/1</t>
  </si>
  <si>
    <t>60653/2023/1</t>
  </si>
  <si>
    <t>99607/2023/1</t>
  </si>
  <si>
    <t>94855/2023/1</t>
  </si>
  <si>
    <t>19106/2023/1</t>
  </si>
  <si>
    <t>30814/2023/1</t>
  </si>
  <si>
    <t>16337/2023/1</t>
  </si>
  <si>
    <t>89860/2023/1</t>
  </si>
  <si>
    <t>10916/2023/1</t>
  </si>
  <si>
    <t>75603/2023/1</t>
  </si>
  <si>
    <t>35753/2023/1</t>
  </si>
  <si>
    <t>28297/2023/1</t>
  </si>
  <si>
    <t>96225/2023/1</t>
  </si>
  <si>
    <t>67052/2023/1</t>
  </si>
  <si>
    <t>47271/2023/1</t>
  </si>
  <si>
    <t>91079/2023/1</t>
  </si>
  <si>
    <t>26663/2023/1</t>
  </si>
  <si>
    <t>29660/2023/1</t>
  </si>
  <si>
    <t>24302/2023/1</t>
  </si>
  <si>
    <t>51537/2023/1</t>
  </si>
  <si>
    <t>53476/2023/1</t>
  </si>
  <si>
    <t>79456/2023/1</t>
  </si>
  <si>
    <t>26941/2023/1</t>
  </si>
  <si>
    <t>58387/2023/1</t>
  </si>
  <si>
    <t>92701/2023/1</t>
  </si>
  <si>
    <t>52744/2023/1</t>
  </si>
  <si>
    <t>24542/2023/1</t>
  </si>
  <si>
    <t>96098/2023/1</t>
  </si>
  <si>
    <t>71721/2023/1</t>
  </si>
  <si>
    <t>92365/2023/1</t>
  </si>
  <si>
    <t>81578/2023/1</t>
  </si>
  <si>
    <t>98546/2023/1</t>
  </si>
  <si>
    <t>11316/2023/1</t>
  </si>
  <si>
    <t>58516/2023/1</t>
  </si>
  <si>
    <t>11967/2023/1</t>
  </si>
  <si>
    <t>62598/2023/1</t>
  </si>
  <si>
    <t>30778/2023/1</t>
  </si>
  <si>
    <t>48178/2023/1</t>
  </si>
  <si>
    <t>26366/2023/1</t>
  </si>
  <si>
    <t>29078/2023/1</t>
  </si>
  <si>
    <t>88534/2023/1</t>
  </si>
  <si>
    <t>35746/2023/1</t>
  </si>
  <si>
    <t>32736/2023/1</t>
  </si>
  <si>
    <t>14968/2023/1</t>
  </si>
  <si>
    <t>26160/2023/1</t>
  </si>
  <si>
    <t>13969/2023/1</t>
  </si>
  <si>
    <t>44120/2023/1</t>
  </si>
  <si>
    <t>98375/2023/1</t>
  </si>
  <si>
    <t>53754/2023/1</t>
  </si>
  <si>
    <t>43070/2023/1</t>
  </si>
  <si>
    <t>47714/2023/1</t>
  </si>
  <si>
    <t>36281/2023/1</t>
  </si>
  <si>
    <t>77748/2023/1</t>
  </si>
  <si>
    <t>68764/2023/1</t>
  </si>
  <si>
    <t>51331/2023/1</t>
  </si>
  <si>
    <t>33068/2023/1</t>
  </si>
  <si>
    <t>25120/2023/1</t>
  </si>
  <si>
    <t>48902/2023/1</t>
  </si>
  <si>
    <t>22254/2023/1</t>
  </si>
  <si>
    <t>46659/2023/1</t>
  </si>
  <si>
    <t>46207/2023/1</t>
  </si>
  <si>
    <t>50734/2023/1</t>
  </si>
  <si>
    <t>46589/2023/1</t>
  </si>
  <si>
    <t>38263/2023/1</t>
  </si>
  <si>
    <t>42153/2023/1</t>
  </si>
  <si>
    <t>36825/2023/1</t>
  </si>
  <si>
    <t>66036/2023/1</t>
  </si>
  <si>
    <t>78234/2023/1</t>
  </si>
  <si>
    <t>33295/2023/1</t>
  </si>
  <si>
    <t>39701/2023/1</t>
  </si>
  <si>
    <t>96656/2023/1</t>
  </si>
  <si>
    <t>87777/2023/1</t>
  </si>
  <si>
    <t>38168/2023/1</t>
  </si>
  <si>
    <t>45604/2023/1</t>
  </si>
  <si>
    <t>69823/2023/1</t>
  </si>
  <si>
    <t>12603/2023/1</t>
  </si>
  <si>
    <t>26335/2023/1</t>
  </si>
  <si>
    <t>87783/2023/1</t>
  </si>
  <si>
    <t>88771/2023/1</t>
  </si>
  <si>
    <t>42702/2023/1</t>
  </si>
  <si>
    <t>16714/2023/1</t>
  </si>
  <si>
    <t>27955/2023/1</t>
  </si>
  <si>
    <t>10730/2023/1</t>
  </si>
  <si>
    <t>92451/2023/1</t>
  </si>
  <si>
    <t>84334/2023/1</t>
  </si>
  <si>
    <t>56667/2023/1</t>
  </si>
  <si>
    <t>80959/2023/1</t>
  </si>
  <si>
    <t>94600/2023/1</t>
  </si>
  <si>
    <t>87606/2023/1</t>
  </si>
  <si>
    <t>86418/2023/1</t>
  </si>
  <si>
    <t>99154/2023/1</t>
  </si>
  <si>
    <t>49169/2023/1</t>
  </si>
  <si>
    <t>85029/2023/1</t>
  </si>
  <si>
    <t>54067/2023/1</t>
  </si>
  <si>
    <t>37916/2023/1</t>
  </si>
  <si>
    <t>83571/2023/1</t>
  </si>
  <si>
    <t>34951/2023/1</t>
  </si>
  <si>
    <t>38743/2023/1</t>
  </si>
  <si>
    <t>Mise en place</t>
  </si>
  <si>
    <t>Renouvellement</t>
  </si>
  <si>
    <t>Pas réglé</t>
  </si>
  <si>
    <t>Réglé</t>
  </si>
  <si>
    <t>demander canevas</t>
  </si>
  <si>
    <t>non localisé</t>
  </si>
  <si>
    <t>DOUNIALI</t>
  </si>
  <si>
    <t>Tamwilcom</t>
  </si>
  <si>
    <t>OCTROI</t>
  </si>
  <si>
    <t>Front</t>
  </si>
  <si>
    <t>15137/2023/1</t>
  </si>
  <si>
    <t>93162/2023/1</t>
  </si>
  <si>
    <t>84023/2023/1</t>
  </si>
  <si>
    <t>69634/2023/1</t>
  </si>
  <si>
    <t>92891/2023/1</t>
  </si>
  <si>
    <t>62461/2023/1</t>
  </si>
  <si>
    <t>29193/2023/1</t>
  </si>
  <si>
    <t>22434/2023/1</t>
  </si>
  <si>
    <t>41055/2023/1</t>
  </si>
  <si>
    <t>76690/2023/1</t>
  </si>
  <si>
    <t>56265/2023/1</t>
  </si>
  <si>
    <t>56269/2023/1</t>
  </si>
  <si>
    <t>92552/2023/1</t>
  </si>
  <si>
    <t>62628/2023/1</t>
  </si>
  <si>
    <t>38445/2023/1</t>
  </si>
  <si>
    <t>84053/2023/1</t>
  </si>
  <si>
    <t>16571/2023/1</t>
  </si>
  <si>
    <t>49818/2023/1</t>
  </si>
  <si>
    <t>37924/2023/1</t>
  </si>
  <si>
    <t>21911/2023/1</t>
  </si>
  <si>
    <t>42219/2023/1</t>
  </si>
  <si>
    <t>86141/2023/1</t>
  </si>
  <si>
    <t>50037/2023/1</t>
  </si>
  <si>
    <t>13803/2023/1</t>
  </si>
  <si>
    <t>82296/2023/1</t>
  </si>
  <si>
    <t>75804/2023/1</t>
  </si>
  <si>
    <t>90313/2023/1</t>
  </si>
  <si>
    <t>18599/2023/1</t>
  </si>
  <si>
    <t>36064/2023/1</t>
  </si>
  <si>
    <t>63920/2023/1</t>
  </si>
  <si>
    <t>56967/2023/1</t>
  </si>
  <si>
    <t>11251/2023/1</t>
  </si>
  <si>
    <t>87864/2023/1</t>
  </si>
  <si>
    <t>59444/2023/1</t>
  </si>
  <si>
    <t>14255/2023/1</t>
  </si>
  <si>
    <t>87646/2023/1</t>
  </si>
  <si>
    <t>16320/2023/1</t>
  </si>
  <si>
    <t>33283/2023/1</t>
  </si>
  <si>
    <t>70911/2023/1</t>
  </si>
  <si>
    <t>74974/2023/1</t>
  </si>
  <si>
    <t>15944/2023/1</t>
  </si>
  <si>
    <t>55498/2023/1</t>
  </si>
  <si>
    <t>37781/2023/1</t>
  </si>
  <si>
    <t>79835/2023/1</t>
  </si>
  <si>
    <t>27073/2023/1</t>
  </si>
  <si>
    <t>54711/2023/1</t>
  </si>
  <si>
    <t>82351/2023/1</t>
  </si>
  <si>
    <t>19157/2023/1</t>
  </si>
  <si>
    <t>15534/2023/1</t>
  </si>
  <si>
    <t>33659/2023/1</t>
  </si>
  <si>
    <t>15549/2023/1</t>
  </si>
  <si>
    <t>93146/2023/1</t>
  </si>
  <si>
    <t>27621/2023/1</t>
  </si>
  <si>
    <t>30249/2023/1</t>
  </si>
  <si>
    <t>15927/2023/1</t>
  </si>
  <si>
    <t>41333/2023/1</t>
  </si>
  <si>
    <t>34507/2023/1</t>
  </si>
  <si>
    <t>34843/2023/1</t>
  </si>
  <si>
    <t>73645/2023/1</t>
  </si>
  <si>
    <t>14517/2023/1</t>
  </si>
  <si>
    <t>59016/2023/1</t>
  </si>
  <si>
    <t>95699/2023/1</t>
  </si>
  <si>
    <t>19563/2023/1</t>
  </si>
  <si>
    <t>62252/2023/1</t>
  </si>
  <si>
    <t>72364/2023/1</t>
  </si>
  <si>
    <t>34634/2023/1</t>
  </si>
  <si>
    <t>81541/2023/1</t>
  </si>
  <si>
    <t>31969/2023/1</t>
  </si>
  <si>
    <t>73870/2023/1</t>
  </si>
  <si>
    <t>46782/2023/1</t>
  </si>
  <si>
    <t>10870/2023/1</t>
  </si>
  <si>
    <t>96485/2023/1</t>
  </si>
  <si>
    <t>12158/2023/1</t>
  </si>
  <si>
    <t>14291/2023/1</t>
  </si>
  <si>
    <t>67480/2023/1</t>
  </si>
  <si>
    <t>71362/2023/1</t>
  </si>
  <si>
    <t>75289/2023/1</t>
  </si>
  <si>
    <t>94915/2023/1</t>
  </si>
  <si>
    <t>78983/2023/1</t>
  </si>
  <si>
    <t>52614/2023/1</t>
  </si>
  <si>
    <t>35505/2023/1</t>
  </si>
  <si>
    <t>45325/2023/1</t>
  </si>
  <si>
    <t>81837/2023/1</t>
  </si>
  <si>
    <t>24512/2023/1</t>
  </si>
  <si>
    <t>61863/2023/1</t>
  </si>
  <si>
    <t>20083/2023/1</t>
  </si>
  <si>
    <t>90912/2023/1</t>
  </si>
  <si>
    <t>58468/2023/1</t>
  </si>
  <si>
    <t>68365/2023/1</t>
  </si>
  <si>
    <t>21854/2023/1</t>
  </si>
  <si>
    <t>63300/2023/1</t>
  </si>
  <si>
    <t>98957/2023/1</t>
  </si>
  <si>
    <t>20609/2023/1</t>
  </si>
  <si>
    <t>49435/2023/1</t>
  </si>
  <si>
    <t>27092/2023/1</t>
  </si>
  <si>
    <t>95154/2023/1</t>
  </si>
  <si>
    <t>97336/2023/1</t>
  </si>
  <si>
    <t>69589/2023/1</t>
  </si>
  <si>
    <t>85496/2023/1</t>
  </si>
  <si>
    <t>25917/2023/1</t>
  </si>
  <si>
    <t>89008/2023/1</t>
  </si>
  <si>
    <t>37959/2023/1</t>
  </si>
  <si>
    <t>50599/2023/1</t>
  </si>
  <si>
    <t>96529/2023/1</t>
  </si>
  <si>
    <t>96522/2023/1</t>
  </si>
  <si>
    <t>18761/2023/1</t>
  </si>
  <si>
    <t>71889/2023/1</t>
  </si>
  <si>
    <t>39802/2023/1</t>
  </si>
  <si>
    <t>23006/2023/1</t>
  </si>
  <si>
    <t>53080/2023/1</t>
  </si>
  <si>
    <t>73415/2023/1</t>
  </si>
  <si>
    <t>29683/2023/1</t>
  </si>
  <si>
    <t>22975/2023/1</t>
  </si>
  <si>
    <t>33976/2023/1</t>
  </si>
  <si>
    <t>49324/2023/1</t>
  </si>
  <si>
    <t>38614/2023/1</t>
  </si>
  <si>
    <t>30130/2023/1</t>
  </si>
  <si>
    <t>64562/2023/1</t>
  </si>
  <si>
    <t>29842/2023/1</t>
  </si>
  <si>
    <t>50322/2023/1</t>
  </si>
  <si>
    <t>85105/2023/1</t>
  </si>
  <si>
    <t>99649/2023/1</t>
  </si>
  <si>
    <t>73533/2023/1</t>
  </si>
  <si>
    <t>68321/2023/1</t>
  </si>
  <si>
    <t>34096/2023/1</t>
  </si>
  <si>
    <t>10568/2023/1</t>
  </si>
  <si>
    <t>58630/2023/1</t>
  </si>
  <si>
    <t>83914/2023/1</t>
  </si>
  <si>
    <t>56136/2023/1</t>
  </si>
  <si>
    <t>79523/2023/1</t>
  </si>
  <si>
    <t>56599/2023/1</t>
  </si>
  <si>
    <t>21031/2023/1</t>
  </si>
  <si>
    <t>43423/2023/1</t>
  </si>
  <si>
    <t>37887/2023/1</t>
  </si>
  <si>
    <t>30664/2023/1</t>
  </si>
  <si>
    <t>35399/2023/1</t>
  </si>
  <si>
    <t>39719/2023/1</t>
  </si>
  <si>
    <t>48466/2023/1</t>
  </si>
  <si>
    <t>80654/2023/1</t>
  </si>
  <si>
    <t>36448/2023/1</t>
  </si>
  <si>
    <t>34732/2023/1</t>
  </si>
  <si>
    <t>39752/2023/1</t>
  </si>
  <si>
    <t>57035/2023/1</t>
  </si>
  <si>
    <t>99931/2023/1</t>
  </si>
  <si>
    <t>83864/2023/1</t>
  </si>
  <si>
    <t>55696/2023/1</t>
  </si>
  <si>
    <t>85612/2023/1</t>
  </si>
  <si>
    <t>65989/2023/1</t>
  </si>
  <si>
    <t>65502/2023/1</t>
  </si>
  <si>
    <t>21886/2023/1</t>
  </si>
  <si>
    <t>49795/2023/1</t>
  </si>
  <si>
    <t>28378/2023/1</t>
  </si>
  <si>
    <t>22508/2023/1</t>
  </si>
  <si>
    <t>92806/2023/1</t>
  </si>
  <si>
    <t>93781/2023/1</t>
  </si>
  <si>
    <t>98070/2023/1</t>
  </si>
  <si>
    <t>19467/2023/1</t>
  </si>
  <si>
    <t>23345/2023/1</t>
  </si>
  <si>
    <t>19108/2023/1</t>
  </si>
  <si>
    <t>66888/2023/1</t>
  </si>
  <si>
    <t>59102/2023/1</t>
  </si>
  <si>
    <t>90264/2023/1</t>
  </si>
  <si>
    <t>35105/2023/1</t>
  </si>
  <si>
    <t>93155/2023/1</t>
  </si>
  <si>
    <t>98134/2023/1</t>
  </si>
  <si>
    <t>22620/2023/1</t>
  </si>
  <si>
    <t>14906/2023/1</t>
  </si>
  <si>
    <t>20210/2023/1</t>
  </si>
  <si>
    <t>47394/2023/1</t>
  </si>
  <si>
    <t>93208/2023/1</t>
  </si>
  <si>
    <t>18288/2023/1</t>
  </si>
  <si>
    <t>50646/2023/1</t>
  </si>
  <si>
    <t>86518/2023/1</t>
  </si>
  <si>
    <t>46433/2023/1</t>
  </si>
  <si>
    <t>74175/2023/1</t>
  </si>
  <si>
    <t>91382/2023/1</t>
  </si>
  <si>
    <t>49527/2023/1</t>
  </si>
  <si>
    <t>19135/2023/1</t>
  </si>
  <si>
    <t>95954/2023/1</t>
  </si>
  <si>
    <t>58541/2023/1</t>
  </si>
  <si>
    <t>64342/2023/1</t>
  </si>
  <si>
    <t>92600/2023/1</t>
  </si>
  <si>
    <t>83857/2023/1</t>
  </si>
  <si>
    <t>46516/2023/1</t>
  </si>
  <si>
    <t>33474/2023/1</t>
  </si>
  <si>
    <t>66967/2023/1</t>
  </si>
  <si>
    <t>69624/2023/1</t>
  </si>
  <si>
    <t>70619/2023/1</t>
  </si>
  <si>
    <t>20080/2023/1</t>
  </si>
  <si>
    <t>18324/2023/1</t>
  </si>
  <si>
    <t>84362/2023/1</t>
  </si>
  <si>
    <t>60565/2023/1</t>
  </si>
  <si>
    <t>14152/2023/1</t>
  </si>
  <si>
    <t>43592/2023/1</t>
  </si>
  <si>
    <t>99185/2023/1</t>
  </si>
  <si>
    <t>92502/2023/1</t>
  </si>
  <si>
    <t>73369/2023/1</t>
  </si>
  <si>
    <t>44812/2023/1</t>
  </si>
  <si>
    <t>33589/2023/1</t>
  </si>
  <si>
    <t>79372/2023/1</t>
  </si>
  <si>
    <t>98639/2023/1</t>
  </si>
  <si>
    <t>23963/2023/1</t>
  </si>
  <si>
    <t>72746/2023/1</t>
  </si>
  <si>
    <t>22124/2023/1</t>
  </si>
  <si>
    <t>30091/2023/1</t>
  </si>
  <si>
    <t>43121/2023/1</t>
  </si>
  <si>
    <t>40758/2023/1</t>
  </si>
  <si>
    <t>56944/2023/1</t>
  </si>
  <si>
    <t>66397/2023/1</t>
  </si>
  <si>
    <t>55806/2023/1</t>
  </si>
  <si>
    <t>92193/2023/1</t>
  </si>
  <si>
    <t>13164/2023/1</t>
  </si>
  <si>
    <t>90535/2023/1</t>
  </si>
  <si>
    <t>69279/2023/1</t>
  </si>
  <si>
    <t>32945/2023/1</t>
  </si>
  <si>
    <t>63631/2023/1</t>
  </si>
  <si>
    <t>97680/2023/1</t>
  </si>
  <si>
    <t>15126/2023/1</t>
  </si>
  <si>
    <t>39707/2023/1</t>
  </si>
  <si>
    <t>13240/2023/1</t>
  </si>
  <si>
    <t>83407/2023/1</t>
  </si>
  <si>
    <t>76318/2023/1</t>
  </si>
  <si>
    <t>64834/2023/1</t>
  </si>
  <si>
    <t>81383/2023/1</t>
  </si>
  <si>
    <t>76185/2023/1</t>
  </si>
  <si>
    <t>50583/2023/1</t>
  </si>
  <si>
    <t>96637/2023/1</t>
  </si>
  <si>
    <t>47323/2023/1</t>
  </si>
  <si>
    <t>43710/2023/1</t>
  </si>
  <si>
    <t>46092/2023/1</t>
  </si>
  <si>
    <t>29303/2023/1</t>
  </si>
  <si>
    <t>18678/2023/1</t>
  </si>
  <si>
    <t>50340/2023/1</t>
  </si>
  <si>
    <t>19319/2023/1</t>
  </si>
  <si>
    <t>97013/2023/1</t>
  </si>
  <si>
    <t>44739/2023/1</t>
  </si>
  <si>
    <t>90930/2023/1</t>
  </si>
  <si>
    <t>40345/2023/1</t>
  </si>
  <si>
    <t>28123/2023/1</t>
  </si>
  <si>
    <t>35499/2023/1</t>
  </si>
  <si>
    <t>82097/2023/1</t>
  </si>
  <si>
    <t>12616/2023/1</t>
  </si>
  <si>
    <t>57185/2023/1</t>
  </si>
  <si>
    <t>76820/2023/1</t>
  </si>
  <si>
    <t>26552/2023/1</t>
  </si>
  <si>
    <t>88501/2023/1</t>
  </si>
  <si>
    <t>69758/2023/1</t>
  </si>
  <si>
    <t>21472/2023/1</t>
  </si>
  <si>
    <t>82425/2023/1</t>
  </si>
  <si>
    <t>86129/2023/1</t>
  </si>
  <si>
    <t>35214/2023/1</t>
  </si>
  <si>
    <t>96267/2023/1</t>
  </si>
  <si>
    <t>79673/2023/1</t>
  </si>
  <si>
    <t>96817/2023/1</t>
  </si>
  <si>
    <t>41569/2023/1</t>
  </si>
  <si>
    <t>58314/2023/1</t>
  </si>
  <si>
    <t>31274/2023/1</t>
  </si>
  <si>
    <t>18823/2023/1</t>
  </si>
  <si>
    <t>72666/2023/1</t>
  </si>
  <si>
    <t>83097/2023/1</t>
  </si>
  <si>
    <t>92456/2023/1</t>
  </si>
  <si>
    <t>55261/2023/1</t>
  </si>
  <si>
    <t>99753/2023/1</t>
  </si>
  <si>
    <t>67205/2023/1</t>
  </si>
  <si>
    <t>47600/2023/1</t>
  </si>
  <si>
    <t>98757/2023/1</t>
  </si>
  <si>
    <t>75507/2023/1</t>
  </si>
  <si>
    <t>27355/2023/1</t>
  </si>
  <si>
    <t>77044/2023/1</t>
  </si>
  <si>
    <t>87707/2023/1</t>
  </si>
  <si>
    <t>23850/2023/1</t>
  </si>
  <si>
    <t>54007/2023/1</t>
  </si>
  <si>
    <t>30054/2023/1</t>
  </si>
  <si>
    <t>45787/2023/1</t>
  </si>
  <si>
    <t>77892/2023/1</t>
  </si>
  <si>
    <t>50428/2023/1</t>
  </si>
  <si>
    <t>17321/2023/1</t>
  </si>
  <si>
    <t>65831/2023/1</t>
  </si>
  <si>
    <t>71485/2023/1</t>
  </si>
  <si>
    <t>78978/2023/1</t>
  </si>
  <si>
    <t>12185/2023/1</t>
  </si>
  <si>
    <t>74852/2023/1</t>
  </si>
  <si>
    <t>86531/2023/1</t>
  </si>
  <si>
    <t>84233/2023/1</t>
  </si>
  <si>
    <t>64365/2023/1</t>
  </si>
  <si>
    <t>53223/2023/1</t>
  </si>
  <si>
    <t>58836/2023/1</t>
  </si>
  <si>
    <t>90205/2023/1</t>
  </si>
  <si>
    <t>19553/2023/1</t>
  </si>
  <si>
    <t>14066/2023/1</t>
  </si>
  <si>
    <t>78298/2023/1</t>
  </si>
  <si>
    <t>82123/2023/1</t>
  </si>
  <si>
    <t>26348/2023/1</t>
  </si>
  <si>
    <t>27365/2023/1</t>
  </si>
  <si>
    <t>43231/2023/1</t>
  </si>
  <si>
    <t>25909/2023/1</t>
  </si>
  <si>
    <t>12479/2023/1</t>
  </si>
  <si>
    <t>91746/2023/1</t>
  </si>
  <si>
    <t>88429/2023/1</t>
  </si>
  <si>
    <t>90943/2023/1</t>
  </si>
  <si>
    <t>26870/2023/1</t>
  </si>
  <si>
    <t>94359/2023/1</t>
  </si>
  <si>
    <t>90135/2023/1</t>
  </si>
  <si>
    <t>72145/2023/1</t>
  </si>
  <si>
    <t>59971/2023/1</t>
  </si>
  <si>
    <t>55816/2023/1</t>
  </si>
  <si>
    <t>14628/2023/1</t>
  </si>
  <si>
    <t>35413/2023/1</t>
  </si>
  <si>
    <t>60748/2023/1</t>
  </si>
  <si>
    <t>45263/2023/1</t>
  </si>
  <si>
    <t>28335/2023/1</t>
  </si>
  <si>
    <t>44280/2023/1</t>
  </si>
  <si>
    <t>44553/2023/1</t>
  </si>
  <si>
    <t>61731/2023/1</t>
  </si>
  <si>
    <t>63371/2023/1</t>
  </si>
  <si>
    <t>56064/2023/1</t>
  </si>
  <si>
    <t>45550/2023/1</t>
  </si>
  <si>
    <t>24410/2023/1</t>
  </si>
  <si>
    <t>30562/2023/1</t>
  </si>
  <si>
    <t>62053/2023/1</t>
  </si>
  <si>
    <t>12461/2023/1</t>
  </si>
  <si>
    <t>16854/2023/1</t>
  </si>
  <si>
    <t>17196/2023/1</t>
  </si>
  <si>
    <t>13893/2023/1</t>
  </si>
  <si>
    <t>92709/2023/1</t>
  </si>
  <si>
    <t>96858/2023/1</t>
  </si>
  <si>
    <t>55323/2023/1</t>
  </si>
  <si>
    <t>42914/2023/1</t>
  </si>
  <si>
    <t>64938/2023/1</t>
  </si>
  <si>
    <t>52742/2023/1</t>
  </si>
  <si>
    <t>20707/2023/1</t>
  </si>
  <si>
    <t>31241/2023/1</t>
  </si>
  <si>
    <t>85673/2023/1</t>
  </si>
  <si>
    <t>32033/2023/1</t>
  </si>
  <si>
    <t>43079/2023/1</t>
  </si>
  <si>
    <t>11907/2023/1</t>
  </si>
  <si>
    <t>26617/2023/1</t>
  </si>
  <si>
    <t>56008/2023/1</t>
  </si>
  <si>
    <t>45764/2023/1</t>
  </si>
  <si>
    <t>67277/2023/1</t>
  </si>
  <si>
    <t>16231/2023/1</t>
  </si>
  <si>
    <t>81137/2023/1</t>
  </si>
  <si>
    <t>35387/2023/1</t>
  </si>
  <si>
    <t>49407/2023/1</t>
  </si>
  <si>
    <t>50469/2023/1</t>
  </si>
  <si>
    <t>82555/2023/1</t>
  </si>
  <si>
    <t>39817/2023/1</t>
  </si>
  <si>
    <t>74671/2023/1</t>
  </si>
  <si>
    <t>62166/2023/1</t>
  </si>
  <si>
    <t>61606/2023/1</t>
  </si>
  <si>
    <t>55927/2023/1</t>
  </si>
  <si>
    <t>66615/2023/1</t>
  </si>
  <si>
    <t>99917/2023/1</t>
  </si>
  <si>
    <t>55339/2023/1</t>
  </si>
  <si>
    <t>87660/2023/1</t>
  </si>
  <si>
    <t>19349/2023/1</t>
  </si>
  <si>
    <t>54403/2023/1</t>
  </si>
  <si>
    <t>40444/2023/1</t>
  </si>
  <si>
    <t>58063/2023/1</t>
  </si>
  <si>
    <t>86563/2023/1</t>
  </si>
  <si>
    <t>37257/2023/1</t>
  </si>
  <si>
    <t>83785/2023/1</t>
  </si>
  <si>
    <t>84940/2023/1</t>
  </si>
  <si>
    <t>19365/2023/1</t>
  </si>
  <si>
    <t>13978/2023/1</t>
  </si>
  <si>
    <t>91287/2023/1</t>
  </si>
  <si>
    <t>70485/2023/1</t>
  </si>
  <si>
    <t>83529/2023/1</t>
  </si>
  <si>
    <t>52785/2023/1</t>
  </si>
  <si>
    <t>89359/2023/1</t>
  </si>
  <si>
    <t>46217/2023/1</t>
  </si>
  <si>
    <t>38086/2023/1</t>
  </si>
  <si>
    <t>80476/2023/1</t>
  </si>
  <si>
    <t>31182/2023/1</t>
  </si>
  <si>
    <t>15699/2023/1</t>
  </si>
  <si>
    <t>30004/2023/1</t>
  </si>
  <si>
    <t>12477/2023/1</t>
  </si>
  <si>
    <t>91264/2023/1</t>
  </si>
  <si>
    <t>34904/2023/1</t>
  </si>
  <si>
    <t>40938/2023/1</t>
  </si>
  <si>
    <t>84783/2023/1</t>
  </si>
  <si>
    <t>29253/2023/1</t>
  </si>
  <si>
    <t>99291/2023/1</t>
  </si>
  <si>
    <t>88288/2023/1</t>
  </si>
  <si>
    <t>68692/2023/1</t>
  </si>
  <si>
    <t>91087/2023/1</t>
  </si>
  <si>
    <t>27881/2023/1</t>
  </si>
  <si>
    <t>45078/2023/1</t>
  </si>
  <si>
    <t>20846/2023/1</t>
  </si>
  <si>
    <t>73528/2023/1</t>
  </si>
  <si>
    <t>64882/2023/1</t>
  </si>
  <si>
    <t>74712/2023/1</t>
  </si>
  <si>
    <t>13173/2023/1</t>
  </si>
  <si>
    <t>77513/2023/1</t>
  </si>
  <si>
    <t>8131/2024/PO/DRE/CAC/ND</t>
  </si>
  <si>
    <t>9283/2024/PO/DRE/CAC/ND</t>
  </si>
  <si>
    <t>2531/2024/PO/DRE/CAC/ND</t>
  </si>
  <si>
    <t>3138/2024/PO/DRE/CAC/ND</t>
  </si>
  <si>
    <t>1202/2024/PO/DRE/CAC/ND</t>
  </si>
  <si>
    <t>1673/2024/PO/DRE/CAC/ND</t>
  </si>
  <si>
    <t>1729/2024/PO/DRE/CAC/ND</t>
  </si>
  <si>
    <t>1131/2024/PO/DRE/CAC/ND</t>
  </si>
  <si>
    <t>7311/2024/PO/DRE/CAC/ND</t>
  </si>
  <si>
    <t>5963/2024/PO/DRE/CAC/ND</t>
  </si>
  <si>
    <t>2172/2024/PO/DRE/CAC/ND</t>
  </si>
  <si>
    <t>9543/2024/PO/DRE/CAC/ND</t>
  </si>
  <si>
    <t>2418/2024/PO/DRE/CAC/ND</t>
  </si>
  <si>
    <t>1185/2024/PO/DRE/CAC/ND</t>
  </si>
  <si>
    <t>4150/2024/PO/DRE/CAC/ND</t>
  </si>
  <si>
    <t>2876/2024/PO/DRE/CAC/ND</t>
  </si>
  <si>
    <t>7093/2024/PO/DRE/CAC/ND</t>
  </si>
  <si>
    <t>7172/2024/PO/DRE/CAC/ND</t>
  </si>
  <si>
    <t>1547/2024/PO/DRE/CAC/ND</t>
  </si>
  <si>
    <t>3812/2024/PO/DRE/CAC/ND</t>
  </si>
  <si>
    <t>5582/2024/PO/DRE/CAC/ND</t>
  </si>
  <si>
    <t>3857/2024/PO/DRE/CAC/ND</t>
  </si>
  <si>
    <t>8881/2024/PO/DRE/CAC/ND</t>
  </si>
  <si>
    <t>2282/2024/PO/DRE/CAC/ND</t>
  </si>
  <si>
    <t>7556/2024/PO/DRE/CAC/ND</t>
  </si>
  <si>
    <t>8574/2024/PO/DRE/CAC/ND</t>
  </si>
  <si>
    <t>9332/2024/PO/DRE/CAC/ND</t>
  </si>
  <si>
    <t>5924/2024/PO/DRE/CAC/ND</t>
  </si>
  <si>
    <t>2563/2024/PO/DRE/CAC/ND</t>
  </si>
  <si>
    <t>7259/2024/PO/DRE/CAC/ND</t>
  </si>
  <si>
    <t>7305/2024/PO/DRE/CAC/ND</t>
  </si>
  <si>
    <t>9619/2024/PO/DRE/CAC/ND</t>
  </si>
  <si>
    <t>2686/2024/PO/DRE/CAC/ND</t>
  </si>
  <si>
    <t>3496/2024/PO/DRE/CAC/ND</t>
  </si>
  <si>
    <t>3654/2024/PO/DRE/CAC/ND</t>
  </si>
  <si>
    <t>9350/2024/PO/DRE/CAC/ND</t>
  </si>
  <si>
    <t>9872/2024/PO/DRE/CAC/ND</t>
  </si>
  <si>
    <t>2183/2024/PO/DRE/CAC/ND</t>
  </si>
  <si>
    <t>3914/2024/PO/DRE/CAC/ND</t>
  </si>
  <si>
    <t>2523/2024/PO/DRE/CAC/ND</t>
  </si>
  <si>
    <t>1250/2024/PO/DRE/CAC/ND</t>
  </si>
  <si>
    <t>5241/2024/PO/DRE/CAC/ND</t>
  </si>
  <si>
    <t>7344/2024/PO/DRE/CAC/ND</t>
  </si>
  <si>
    <t>3058/2024/PO/DRE/CAC/ND</t>
  </si>
  <si>
    <t>8455/2024/PO/DRE/CAC/ND</t>
  </si>
  <si>
    <t>1973/2024/PO/DRE/CAC/ND</t>
  </si>
  <si>
    <t>3579/2024/PO/DRE/CAC/ND</t>
  </si>
  <si>
    <t>2371/2024/PO/DRE/CAC/ND</t>
  </si>
  <si>
    <t>1588/2024/PO/DRE/CAC/ND</t>
  </si>
  <si>
    <t>8681/2024/PO/DRE/CAC/ND</t>
  </si>
  <si>
    <t>1514/2024/PO/DRE/CAC/ND</t>
  </si>
  <si>
    <t>6201/2024/PO/DRE/CAC/ND</t>
  </si>
  <si>
    <t>5696/2024/PO/DRE/CAC/ND</t>
  </si>
  <si>
    <t>1951/2024/PO/DRE/CAC/ND</t>
  </si>
  <si>
    <t>6212/2024/PO/DRE/CAC/ND</t>
  </si>
  <si>
    <t>2857/2024/PO/DRE/CAC/ND</t>
  </si>
  <si>
    <t>3945/2024/PO/DRE/CAC/ND</t>
  </si>
  <si>
    <t>6753/2024/PO/DRE/CAC/ND</t>
  </si>
  <si>
    <t>1661/2024/PO/DRE/CAC/ND</t>
  </si>
  <si>
    <t>6082/2024/PO/DRE/CAC/ND</t>
  </si>
  <si>
    <t>3591/2024/PO/DRE/CAC/ND</t>
  </si>
  <si>
    <t>8660/2024/PO/DRE/CAC/ND</t>
  </si>
  <si>
    <t>3442/2024/PO/DRE/CAC/ND</t>
  </si>
  <si>
    <t>2504/2024/PO/DRE/CAC/ND</t>
  </si>
  <si>
    <t>9944/2024/PO/DRE/CAC/ND</t>
  </si>
  <si>
    <t>5068/2024/PO/DRE/CAC/ND</t>
  </si>
  <si>
    <t>4524/2024/PO/DRE/CAC/ND</t>
  </si>
  <si>
    <t>9168/2024/PO/DRE/CAC/ND</t>
  </si>
  <si>
    <t>2706/2024/PO/DRE/CAC/ND</t>
  </si>
  <si>
    <t>3504/2024/PO/DRE/CAC/ND</t>
  </si>
  <si>
    <t>2170/2024/PO/DRE/CAC/ND</t>
  </si>
  <si>
    <t>1525/2024/PO/DRE/CAC/ND</t>
  </si>
  <si>
    <t>6696/2024/PO/DRE/CAC/ND</t>
  </si>
  <si>
    <t>5698/2024/PO/DRE/CAC/ND</t>
  </si>
  <si>
    <t>9079/2024/PO/DRE/CAC/ND</t>
  </si>
  <si>
    <t>5262/2024/PO/DRE/CAC/ND</t>
  </si>
  <si>
    <t>4074/2024/PO/DRE/CAC/ND</t>
  </si>
  <si>
    <t>3773/2024/PO/DRE/CAC/ND</t>
  </si>
  <si>
    <t>9952/2024/PO/DRE/CAC/ND</t>
  </si>
  <si>
    <t>7211/2024/PO/DRE/CAC/ND</t>
  </si>
  <si>
    <t>1676/2024/PO/DRE/CAC/ND</t>
  </si>
  <si>
    <t>5179/2024/PO/DRE/CAC/ND</t>
  </si>
  <si>
    <t>8639/2024/PO/DRE/CAC/ND</t>
  </si>
  <si>
    <t>7062/2024/PO/DRE/CAC/ND</t>
  </si>
  <si>
    <t>8967/2024/PO/DRE/CAC/ND</t>
  </si>
  <si>
    <t>5744/2024/PO/DRE/CAC/ND</t>
  </si>
  <si>
    <t>9197/2024/PO/DRE/CAC/ND</t>
  </si>
  <si>
    <t>1712/2024/PO/DRE/CAC/ND</t>
  </si>
  <si>
    <t>5648/2024/PO/DRE/CAC/ND</t>
  </si>
  <si>
    <t>1169/2024/PO/DRE/CAC/ND</t>
  </si>
  <si>
    <t>4893/2024/PO/DRE/CAC/ND</t>
  </si>
  <si>
    <t>8606/2024/PO/DRE/CAC/ND</t>
  </si>
  <si>
    <t>9371/2024/PO/DRE/CAC/ND</t>
  </si>
  <si>
    <t>5269/2024/PO/DRE/CAC/ND</t>
  </si>
  <si>
    <t>4036/2024/PO/DRE/CAC/ND</t>
  </si>
  <si>
    <t>2211/2024/PO/DRE/CAC/ND</t>
  </si>
  <si>
    <t>2848/2024/PO/DRE/CAC/ND</t>
  </si>
  <si>
    <t>3435/2024/PO/DRE/CAC/ND</t>
  </si>
  <si>
    <t>4836/2024/PO/DRE/CAC/ND</t>
  </si>
  <si>
    <t>5432/2024/PO/DRE/CAC/ND</t>
  </si>
  <si>
    <t>5847/2024/PO/DRE/CAC/ND</t>
  </si>
  <si>
    <t>6108/2024/PO/DRE/CAC/ND</t>
  </si>
  <si>
    <t>8190/2024/PO/DRE/CAC/ND</t>
  </si>
  <si>
    <t>8191/2024/PO/DRE/CAC/ND</t>
  </si>
  <si>
    <t>4445/2024/PO/DRE/CAC/ND</t>
  </si>
  <si>
    <t>7207/2024/PO/DRE/CAC/ND</t>
  </si>
  <si>
    <t>1888/2024/PO/DRE/CAC/ND</t>
  </si>
  <si>
    <t>2527/2024/PO/DRE/CAC/ND</t>
  </si>
  <si>
    <t>5443/2024/PO/DRE/CAC/ND</t>
  </si>
  <si>
    <t>5775/2024/PO/DRE/CAC/ND</t>
  </si>
  <si>
    <t>8164/2024/PO/DRE/CAC/ND</t>
  </si>
  <si>
    <t>6484/2024/PO/DRE/CAC/ND</t>
  </si>
  <si>
    <t>8560/2024/PO/DRE/CAC/ND</t>
  </si>
  <si>
    <t>2229/2024/PO/DRE/CAC/ND</t>
  </si>
  <si>
    <t>9297/2024/PO/DRE/CAC/ND</t>
  </si>
  <si>
    <t>1804/2024/PO/DRE/CAC/ND</t>
  </si>
  <si>
    <t>8284/2024/PO/DRE/CAC/ND</t>
  </si>
  <si>
    <t>5601/2024/PO/DRE/CAC/ND</t>
  </si>
  <si>
    <t>8965/2024/PO/DRE/CAC/ND</t>
  </si>
  <si>
    <t>5206/2024/PO/DRE/CAC/ND</t>
  </si>
  <si>
    <t>5234/2024/PO/DRE/CAC/ND</t>
  </si>
  <si>
    <t>6743/2024/PO/DRE/CAC/ND</t>
  </si>
  <si>
    <t>5964/2024/PO/DRE/CAC/ND</t>
  </si>
  <si>
    <t>4506/2024/PO/DRE/CAC/ND</t>
  </si>
  <si>
    <t>9381/2024/PO/DRE/CAC/ND</t>
  </si>
  <si>
    <t>7483/2024/PO/DRE/CAC/ND</t>
  </si>
  <si>
    <t>2289/2024/PO/DRE/CAC/ND</t>
  </si>
  <si>
    <t>5892/2024/PO/DRE/CAC/ND</t>
  </si>
  <si>
    <t>6907/2024/PO/DRE/CAC/ND</t>
  </si>
  <si>
    <t>5279/2024/PO/DRE/CAC/ND</t>
  </si>
  <si>
    <t>9598/2024/PO/DRE/CAC/ND</t>
  </si>
  <si>
    <t>6670/2024/PO/DRE/CAC/ND</t>
  </si>
  <si>
    <t>4402/2024/PO/DRE/CAC/ND</t>
  </si>
  <si>
    <t>8808/2024/PO/DRE/CAC/ND</t>
  </si>
  <si>
    <t>1182/2024/PO/DRE/CAC/ND</t>
  </si>
  <si>
    <t>8800/2024/PO/DRE/CAC/ND</t>
  </si>
  <si>
    <t>1842/2024/PO/DRE/CAC/ND</t>
  </si>
  <si>
    <t>3043/2024/PO/DRE/CAC/ND</t>
  </si>
  <si>
    <t>3525/2024/PO/DRE/CAC/ND</t>
  </si>
  <si>
    <t>4535/2024/PO/DRE/CAC/ND</t>
  </si>
  <si>
    <t>4796/2024/PO/DRE/CAC/ND</t>
  </si>
  <si>
    <t>6003/2024/PO/DRE/CAC/ND</t>
  </si>
  <si>
    <t>4472/2024/PO/DRE/CAC/ND</t>
  </si>
  <si>
    <t>1677/2024/PO/DRE/CAC/ND</t>
  </si>
  <si>
    <t>8923/2024/PO/DRE/CAC/ND</t>
  </si>
  <si>
    <t>3044/2024/PO/DRE/CAC/ND</t>
  </si>
  <si>
    <t>9954/2024/PO/DRE/CAC/ND</t>
  </si>
  <si>
    <t>9906/2024/PO/DRE/CAC/ND</t>
  </si>
  <si>
    <t>4832/2024/PO/DRE/CAC/ND</t>
  </si>
  <si>
    <t>1769/2024/PO/DRE/CAC/ND</t>
  </si>
  <si>
    <t>7020/2024/PO/DRE/CAC/ND</t>
  </si>
  <si>
    <t>4933/2024/PO/DRE/CAC/ND</t>
  </si>
  <si>
    <t>2222/2024/PO/DRE/CAC/ND</t>
  </si>
  <si>
    <t>1173/2024/PO/DRE/CAC/ND</t>
  </si>
  <si>
    <t>3534/2024/PO/DRE/CAC/ND</t>
  </si>
  <si>
    <t>8465/2024/PO/DRE/CAC/ND</t>
  </si>
  <si>
    <t>5939/2024/PO/DRE/CAC/ND</t>
  </si>
  <si>
    <t>6166/2024/PO/DRE/CAC/ND</t>
  </si>
  <si>
    <t>7748/2024/PO/DRE/CAC/ND</t>
  </si>
  <si>
    <t>4070/2024/PO/DRE/CAC/ND</t>
  </si>
  <si>
    <t>9465/2024/PO/DRE/CAC/ND</t>
  </si>
  <si>
    <t>7510/2024/PO/DRE/CAC/ND</t>
  </si>
  <si>
    <t>3705/2024/PO/DRE/CAC/ND</t>
  </si>
  <si>
    <t>3176/2024/PO/DRE/CAC/ND</t>
  </si>
  <si>
    <t>6898/2024/PO/DRE/CAC/ND</t>
  </si>
  <si>
    <t>6834/2024/PO/DRE/CAC/ND</t>
  </si>
  <si>
    <t>9167/2024/PO/DRE/CAC/ND</t>
  </si>
  <si>
    <t>2661/2024/PO/DRE/CAC/ND</t>
  </si>
  <si>
    <t>5032/2024/PO/DRE/CAC/ND</t>
  </si>
  <si>
    <t>2144/2024/PO/DRE/CAC/ND</t>
  </si>
  <si>
    <t>4543/2024/PO/DRE/CAC/ND</t>
  </si>
  <si>
    <t>8374/2024/PO/DRE/CAC/ND</t>
  </si>
  <si>
    <t>2754/2024/PO/DRE/CAC/ND</t>
  </si>
  <si>
    <t>7220/2024/PO/DRE/CAC/ND</t>
  </si>
  <si>
    <t>5230/2024/PO/DRE/CAC/ND</t>
  </si>
  <si>
    <t>9909/2024/PO/DRE/CAC/ND</t>
  </si>
  <si>
    <t>6821/2024/PO/DRE/CAC/ND</t>
  </si>
  <si>
    <t>2382/2024/PO/DRE/CAC/ND</t>
  </si>
  <si>
    <t>1382/2024/PO/DRE/CAC/ND</t>
  </si>
  <si>
    <t>1099/2024/PO/DRE/CAC/ND</t>
  </si>
  <si>
    <t>4471/2024/PO/DRE/CAC/ND</t>
  </si>
  <si>
    <t>8010/2024/PO/DRE/CAC/ND</t>
  </si>
  <si>
    <t>4993/2024/PO/DRE/CAC/ND</t>
  </si>
  <si>
    <t>9081/2024/PO/DRE/CAC/ND</t>
  </si>
  <si>
    <t>8055/2024/PO/DRE/CAC/ND</t>
  </si>
  <si>
    <t>6162/2024/PO/DRE/CAC/ND</t>
  </si>
  <si>
    <t>4864/2024/PO/DRE/CAC/ND</t>
  </si>
  <si>
    <t>4821/2024/PO/DRE/CAC/ND</t>
  </si>
  <si>
    <t>9353/2024/PO/DRE/CAC/ND</t>
  </si>
  <si>
    <t>5485/2024/PO/DRE/CAC/ND</t>
  </si>
  <si>
    <t>9504/2024/PO/DRE/CAC/ND</t>
  </si>
  <si>
    <t>7939/2024/PO/DRE/CAC/ND</t>
  </si>
  <si>
    <t>7500/2024/PO/DRE/CAC/ND</t>
  </si>
  <si>
    <t>9461/2024/PO/DRE/CAC/ND</t>
  </si>
  <si>
    <t>9752/2024/PO/DRE/CAC/ND</t>
  </si>
  <si>
    <t>7400/2024/PO/DRE/CAC/ND</t>
  </si>
  <si>
    <t>7757/2024/PO/DRE/CAC/ND</t>
  </si>
  <si>
    <t>6186/2024/PO/DRE/CAC/ND</t>
  </si>
  <si>
    <t>8767/2024/PO/DRE/CAC/ND</t>
  </si>
  <si>
    <t>2186/2024/PO/DRE/CAC/ND</t>
  </si>
  <si>
    <t>8601/2024/PO/DRE/CAC/ND</t>
  </si>
  <si>
    <t>8129/2024/PO/DRE/CAC/ND</t>
  </si>
  <si>
    <t>9902/2024/PO/DRE/CAC/ND</t>
  </si>
  <si>
    <t>6819/2024/PO/DRE/CAC/ND</t>
  </si>
  <si>
    <t>4482/2024/PO/DRE/CAC/ND</t>
  </si>
  <si>
    <t>1691/2024/PO/DRE/CAC/ND</t>
  </si>
  <si>
    <t>4618/2024/PO/DRE/CAC/ND</t>
  </si>
  <si>
    <t>9192/2024/PO/DRE/CAC/ND</t>
  </si>
  <si>
    <t>5457/2024/PO/DRE/CAC/ND</t>
  </si>
  <si>
    <t>5172/2024/PO/DRE/CAC/ND</t>
  </si>
  <si>
    <t>8843/2024/PO/DRE/CAC/ND</t>
  </si>
  <si>
    <t>3729/2024/PO/DRE/CAC/ND</t>
  </si>
  <si>
    <t>8833/2024/PO/DRE/CAC/ND</t>
  </si>
  <si>
    <t>8696/2024/PO/DRE/CAC/ND</t>
  </si>
  <si>
    <t>6130/2024/PO/DRE/CAC/ND</t>
  </si>
  <si>
    <t>8352/2024/PO/DRE/CAC/ND</t>
  </si>
  <si>
    <t>3389/2024/PO/DRE/CAC/ND</t>
  </si>
  <si>
    <t>8673/2024/PO/DRE/CAC/ND</t>
  </si>
  <si>
    <t>7540/2024/PO/DRE/CAC/ND</t>
  </si>
  <si>
    <t>1598/2024/PO/DRE/CAC/ND</t>
  </si>
  <si>
    <t>5137/2024/PO/DRE/CAC/ND</t>
  </si>
  <si>
    <t>9325/2024/PO/DRE/CAC/ND</t>
  </si>
  <si>
    <t>4565/2024/PO/DRE/CAC/ND</t>
  </si>
  <si>
    <t>3042/2024/PO/DRE/CAC/ND</t>
  </si>
  <si>
    <t>1024/2024/PO/DRE/CAC/ND</t>
  </si>
  <si>
    <t>3718/2024/PO/DRE/CAC/ND</t>
  </si>
  <si>
    <t>3423/2024/PO/DRE/CAC/ND</t>
  </si>
  <si>
    <t>2640/2024/PO/DRE/CAC/ND</t>
  </si>
  <si>
    <t>2416/2024/PO/DRE/CAC/ND</t>
  </si>
  <si>
    <t>6914/2024/PO/DRE/CAC/ND</t>
  </si>
  <si>
    <t>8651/2024/PO/DRE/CAC/ND</t>
  </si>
  <si>
    <t>9964/2024/PO/DRE/CAC/ND</t>
  </si>
  <si>
    <t>9911/2024/PO/DRE/CAC/ND</t>
  </si>
  <si>
    <t>9044/2024/PO/DRE/CAC/ND</t>
  </si>
  <si>
    <t>1517/2024/PO/DRE/CAC/ND</t>
  </si>
  <si>
    <t>9628/2024/PO/DRE/CAC/ND</t>
  </si>
  <si>
    <t>9732/2024/PO/DRE/CAC/ND</t>
  </si>
  <si>
    <t>4116/2024/PO/DRE/CAC/ND</t>
  </si>
  <si>
    <t>1021/2024/PO/DRE/CAC/ND</t>
  </si>
  <si>
    <t>5625/2024/PO/DRE/CAC/ND</t>
  </si>
  <si>
    <t>2646/2024/PO/DRE/CAC/ND</t>
  </si>
  <si>
    <t>7746/2024/PO/DRE/CAC/ND</t>
  </si>
  <si>
    <t>8809/2024/PO/DRE/CAC/ND</t>
  </si>
  <si>
    <t>2156/2024/PO/DRE/CAC/ND</t>
  </si>
  <si>
    <t>3709/2024/PO/DRE/CAC/ND</t>
  </si>
  <si>
    <t>9912/2024/PO/DRE/CAC/ND</t>
  </si>
  <si>
    <t>7113/2024/PO/DRE/CAC/ND</t>
  </si>
  <si>
    <t>7268/2024/PO/DRE/CAC/ND</t>
  </si>
  <si>
    <t>9558/2024/PO/DRE/CAC/ND</t>
  </si>
  <si>
    <t>3492/2024/PO/DRE/CAC/ND</t>
  </si>
  <si>
    <t>8545/2024/PO/DRE/CAC/ND</t>
  </si>
  <si>
    <t>9777/2024/PO/DRE/CAC/ND</t>
  </si>
  <si>
    <t>9442/2024/PO/DRE/CAC/ND</t>
  </si>
  <si>
    <t>4442/2024/PO/DRE/CAC/ND</t>
  </si>
  <si>
    <t>2104/2024/PO/DRE/CAC/ND</t>
  </si>
  <si>
    <t>5629/2024/PO/DRE/CAC/ND</t>
  </si>
  <si>
    <t>3155/2024/PO/DRE/CAC/ND</t>
  </si>
  <si>
    <t>2834/2024/PO/DRE/CAC/ND</t>
  </si>
  <si>
    <t>2835/2024/PO/DRE/CAC/ND</t>
  </si>
  <si>
    <t>9208/2024/PO/DRE/CAC/ND</t>
  </si>
  <si>
    <t>9421/2024/PO/DRE/CAC/ND</t>
  </si>
  <si>
    <t>3296/2024/PO/DRE/CAC/ND</t>
  </si>
  <si>
    <t>8314/2024/PO/DRE/CAC/ND</t>
  </si>
  <si>
    <t>5086/2024/PO/DRE/CAC/ND</t>
  </si>
  <si>
    <t>4155/2024/PO/DRE/CAC/ND</t>
  </si>
  <si>
    <t>4562/2024/PO/DRE/CAC/ND</t>
  </si>
  <si>
    <t>3743/2024/PO/DRE/CAC/ND</t>
  </si>
  <si>
    <t>9825/2024/PO/DRE/CAC/ND</t>
  </si>
  <si>
    <t>9435/2024/PO/DRE/CAC/ND</t>
  </si>
  <si>
    <t>9163/2024/PO/DRE/CAC/ND</t>
  </si>
  <si>
    <t>7562/2024/PO/DRE/CAC/ND</t>
  </si>
  <si>
    <t>4042/2024/PO/DRE/CAC/ND</t>
  </si>
  <si>
    <t>4170/2024/PO/DRE/CAC/ND</t>
  </si>
  <si>
    <t>1232/2024/PO/DRE/CAC/ND</t>
  </si>
  <si>
    <t>6262/2024/PO/DRE/CAC/ND</t>
  </si>
  <si>
    <t>4558/2024/PO/DRE/CAC/ND</t>
  </si>
  <si>
    <t>5535/2024/PO/DRE/CAC/ND</t>
  </si>
  <si>
    <t>9359/2024/PO/DRE/CAC/ND</t>
  </si>
  <si>
    <t>8975/2024/PO/DRE/CAC/ND</t>
  </si>
  <si>
    <t>7927/2024/PO/DRE/CAC/ND</t>
  </si>
  <si>
    <t>6822/2024/PO/DRE/CAC/ND</t>
  </si>
  <si>
    <t>5773/2024/PO/DRE/CAC/ND</t>
  </si>
  <si>
    <t>7877/2024/PO/DRE/CAC/ND</t>
  </si>
  <si>
    <t>6368/2024/PO/DRE/CAC/ND</t>
  </si>
  <si>
    <t>8491/2024/PO/DRE/CAC/ND</t>
  </si>
  <si>
    <t>8499/2024/PO/DRE/CAC/ND</t>
  </si>
  <si>
    <t>4653/2024/PO/DRE/CAC/ND</t>
  </si>
  <si>
    <t>9514/2024/PO/DRE/CAC/ND</t>
  </si>
  <si>
    <t>2742/2024/PO/DRE/CAC/ND</t>
  </si>
  <si>
    <t>9088/2024/PO/DRE/CAC/ND</t>
  </si>
  <si>
    <t>1195/2024/PO/DRE/CAC/ND</t>
  </si>
  <si>
    <t>9096/2024/PO/DRE/CAC/ND</t>
  </si>
  <si>
    <t>1939/2024/PO/DRE/CAC/ND</t>
  </si>
  <si>
    <t>5061/2024/PO/DRE/CAC/ND</t>
  </si>
  <si>
    <t>9129/2024/PO/DRE/CAC/ND</t>
  </si>
  <si>
    <t>2113/2024/PO/DRE/CAC/ND</t>
  </si>
  <si>
    <t>6309/2024/PO/DRE/CAC/ND</t>
  </si>
  <si>
    <t>1753/2024/PO/DRE/CAC/ND</t>
  </si>
  <si>
    <t>3010/2024/PO/DRE/CAC/ND</t>
  </si>
  <si>
    <t>4665/2024/PO/DRE/CAC/ND</t>
  </si>
  <si>
    <t>6007/2024/PO/DRE/CAC/ND</t>
  </si>
  <si>
    <t>8447/2024/PO/DRE/CAC/ND</t>
  </si>
  <si>
    <t>1355/2024/PO/DRE/CAC/ND</t>
  </si>
  <si>
    <t>1441/2024/PO/DRE/CAC/ND</t>
  </si>
  <si>
    <t>9289/2024/PO/DRE/CAC/ND</t>
  </si>
  <si>
    <t>2751/2024/PO/DRE/CAC/ND</t>
  </si>
  <si>
    <t>4578/2024/PO/DRE/CAC/ND</t>
  </si>
  <si>
    <t>7681/2024/PO/DRE/CAC/ND</t>
  </si>
  <si>
    <t>8936/2024/PO/DRE/CAC/ND</t>
  </si>
  <si>
    <t>2837/2024/PO/DRE/CAC/ND</t>
  </si>
  <si>
    <t>3549/2024/PO/DRE/CAC/ND</t>
  </si>
  <si>
    <t>8237/2024/PO/DRE/CAC/ND</t>
  </si>
  <si>
    <t>4108/2024/PO/DRE/CAC/ND</t>
  </si>
  <si>
    <t>3053/2024/PO/DRE/CAC/ND</t>
  </si>
  <si>
    <t>1431/2024/PO/DRE/CAC/ND</t>
  </si>
  <si>
    <t>1634/2024/PO/DRE/CAC/ND</t>
  </si>
  <si>
    <t>9806/2024/PO/DRE/CAC/ND</t>
  </si>
  <si>
    <t>4160/2024/PO/DRE/CAC/ND</t>
  </si>
  <si>
    <t>2087/2024/PO/DRE/CAC/ND</t>
  </si>
  <si>
    <t>2719/2024/PO/DRE/CAC/ND</t>
  </si>
  <si>
    <t>6733/2024/PO/DRE/CAC/ND</t>
  </si>
  <si>
    <t>2171/2024/PO/DRE/CAC/ND</t>
  </si>
  <si>
    <t>9093/2024/PO/DRE/CAC/ND</t>
  </si>
  <si>
    <t>5236/2024/PO/DRE/CAC/ND</t>
  </si>
  <si>
    <t>6781/2024/PO/DRE/CAC/ND</t>
  </si>
  <si>
    <t>9375/2024/PO/DRE/CAC/ND</t>
  </si>
  <si>
    <t>4104/2024/PO/DRE/CAC/ND</t>
  </si>
  <si>
    <t>7238/2024/PO/DRE/CAC/ND</t>
  </si>
  <si>
    <t>7324/2024/PO/DRE/CAC/ND</t>
  </si>
  <si>
    <t>2380/2024/PO/DRE/CAC/ND</t>
  </si>
  <si>
    <t>1749/2024/PO/DRE/CAC/ND</t>
  </si>
  <si>
    <t>1718/2024/PO/DRE/CAC/ND</t>
  </si>
  <si>
    <t>2391/2024/PO/DRE/CAC/ND</t>
  </si>
  <si>
    <t>4955/2024/PO/DRE/CAC/ND</t>
  </si>
  <si>
    <t>9468/2024/PO/DRE/CAC/ND</t>
  </si>
  <si>
    <t>5163/2024/PO/DRE/CAC/ND</t>
  </si>
  <si>
    <t>8326/2024/PO/DRE/CAC/ND</t>
  </si>
  <si>
    <t>4663/2024/PO/DRE/CAC/ND</t>
  </si>
  <si>
    <t>7334/2024/PO/DRE/CAC/ND</t>
  </si>
  <si>
    <t>4248/2024/PO/DRE/CAC/ND</t>
  </si>
  <si>
    <t>7084/2024/PO/DRE/CAC/ND</t>
  </si>
  <si>
    <t>9390/2024/PO/DRE/CAC/ND</t>
  </si>
  <si>
    <t>8541/2024/PO/DRE/CAC/ND</t>
  </si>
  <si>
    <t>6190/2024/PO/DRE/CAC/ND</t>
  </si>
  <si>
    <t>9071/2024/PO/DRE/CAC/ND</t>
  </si>
  <si>
    <t>6944/2024/PO/DRE/CAC/ND</t>
  </si>
  <si>
    <t>1004/2024/PO/DRE/CAC/ND</t>
  </si>
  <si>
    <t>2502/2024/PO/DRE/CAC/ND</t>
  </si>
  <si>
    <t>2492/2024/PO/DRE/CAC/ND</t>
  </si>
  <si>
    <t>4388/2024/PO/DRE/CAC/ND</t>
  </si>
  <si>
    <t>7953/2024/PO/DRE/CAC/ND</t>
  </si>
  <si>
    <t>3006/2024/PO/DRE/CAC/ND</t>
  </si>
  <si>
    <t>8452/2024/PO/DRE/CAC/ND</t>
  </si>
  <si>
    <t>7252/2024/PO/DRE/CAC/ND</t>
  </si>
  <si>
    <t>8732/2024/PO/DRE/CAC/ND</t>
  </si>
  <si>
    <t>5328/2024/PO/DRE/CAC/ND</t>
  </si>
  <si>
    <t>8230/2024/PO/DRE/CAC/ND</t>
  </si>
  <si>
    <t>5861/2024/PO/DRE/CAC/ND</t>
  </si>
  <si>
    <t>2903/2024/PO/DRE/CAC/ND</t>
  </si>
  <si>
    <t>8457/2024/PO/DRE/CAC/ND</t>
  </si>
  <si>
    <t>4876/2024/PO/DRE/CAC/ND</t>
  </si>
  <si>
    <t>9053/2024/PO/DRE/CAC/ND</t>
  </si>
  <si>
    <t>7690/2024/PO/DRE/CAC/ND</t>
  </si>
  <si>
    <t>7226/2024/PO/DRE/CAC/ND</t>
  </si>
  <si>
    <t>4797/2024/PO/DRE/CAC/ND</t>
  </si>
  <si>
    <t>4271/2024/PO/DRE/CAC/ND</t>
  </si>
  <si>
    <t>6722/2024/PO/DRE/CAC/ND</t>
  </si>
  <si>
    <t>1520/2024/PO/DRE/CAC/ND</t>
  </si>
  <si>
    <t>1499/2024/PO/DRE/CAC/ND</t>
  </si>
  <si>
    <t>4616/2024/PO/DRE/CAC/ND</t>
  </si>
  <si>
    <t>5508/2024/PO/DRE/CAC/ND</t>
  </si>
  <si>
    <t>1001/2024/PO/DRE/CAC/ND</t>
  </si>
  <si>
    <t>8672/2024/PO/DRE/CAC/ND</t>
  </si>
  <si>
    <t>6249/2024/PO/DRE/CAC/ND</t>
  </si>
  <si>
    <t>7234/2024/PO/DRE/CAC/ND</t>
  </si>
  <si>
    <t>3557/2024/PO/DRE/CAC/ND</t>
  </si>
  <si>
    <t>6290/2024/PO/DRE/CAC/ND</t>
  </si>
  <si>
    <t>9980/2024/PO/DRE/CAC/ND</t>
  </si>
  <si>
    <t>4767/2024/PO/DRE/CAC/ND</t>
  </si>
  <si>
    <t>6824/2024/PO/DRE/CAC/ND</t>
  </si>
  <si>
    <t>6001/2024/PO/DRE/CAC/ND</t>
  </si>
  <si>
    <t>2510/2024/PO/DRE/CAC/ND</t>
  </si>
  <si>
    <t>1727/2024/PO/DRE/CAC/ND</t>
  </si>
  <si>
    <t>5732/2024/PO/DRE/CAC/ND</t>
  </si>
  <si>
    <t>9866/2024/PO/DRE/CAC/ND</t>
  </si>
  <si>
    <t>2261/2024/PO/DRE/CAC/ND</t>
  </si>
  <si>
    <t>9282/2024/PO/DRE/CAC/ND</t>
  </si>
  <si>
    <t>9703/2024/PO/DRE/CAC/ND</t>
  </si>
  <si>
    <t>4743/2024/PO/DRE/CAC/ND</t>
  </si>
  <si>
    <t>4347/2024/PO/DRE/CAC/ND</t>
  </si>
  <si>
    <t>2268/2024/PO/DRE/CAC/ND</t>
  </si>
  <si>
    <t>7541/2024/PO/DRE/CAC/ND</t>
  </si>
  <si>
    <t>Valide</t>
  </si>
  <si>
    <t>A renouveller</t>
  </si>
  <si>
    <t>Nombre de Statut Garantie</t>
  </si>
  <si>
    <t>Statut garantie</t>
  </si>
  <si>
    <t>Somme de Montant garanties</t>
  </si>
  <si>
    <t>Somme de Montant lignes</t>
  </si>
  <si>
    <t>Nombre de Statut Acte Physique</t>
  </si>
  <si>
    <t>Collaborateurs</t>
  </si>
  <si>
    <t>junior 1</t>
  </si>
  <si>
    <t>junior 2</t>
  </si>
  <si>
    <t>junior 3</t>
  </si>
  <si>
    <t>junior 4</t>
  </si>
  <si>
    <t>statut physique</t>
  </si>
  <si>
    <t>Nombre de Commission Payée</t>
  </si>
  <si>
    <t>comission payée</t>
  </si>
  <si>
    <t>Somme de Montant Garantie</t>
  </si>
  <si>
    <t>Statut acte</t>
  </si>
  <si>
    <t>Nombre de REN/MEP</t>
  </si>
  <si>
    <t xml:space="preserve"> </t>
  </si>
  <si>
    <t xml:space="preserve">mois </t>
  </si>
  <si>
    <t>Mars</t>
  </si>
  <si>
    <t>Avril</t>
  </si>
  <si>
    <t>Mai</t>
  </si>
  <si>
    <t>Juin</t>
  </si>
  <si>
    <t>Août</t>
  </si>
  <si>
    <t>Décembre</t>
  </si>
  <si>
    <t>Fév</t>
  </si>
  <si>
    <t>Jan</t>
  </si>
  <si>
    <t>Juill</t>
  </si>
  <si>
    <t>Sept</t>
  </si>
  <si>
    <t>Oct</t>
  </si>
  <si>
    <t>Nov</t>
  </si>
  <si>
    <t>(Tous)</t>
  </si>
  <si>
    <t>garantie a ren</t>
  </si>
  <si>
    <t xml:space="preserve">Nombre de gar a renouveller </t>
  </si>
  <si>
    <t xml:space="preserve">Nombre de Flag a renouveller </t>
  </si>
  <si>
    <t xml:space="preserve">S22 </t>
  </si>
  <si>
    <t>S23</t>
  </si>
  <si>
    <t>S24</t>
  </si>
  <si>
    <t>S25</t>
  </si>
  <si>
    <t>S26</t>
  </si>
  <si>
    <t>Colonne1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</si>
</sst>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_-* ###0_-;\-* ###0_-;_-* &quot;-&quot;??_-;_-@_-"/>
    <numFmt numFmtId="166" formatCode="[Color10]0.0%\▲;[Red]\(0.0\)%\▼"/>
    <numFmt numFmtId="167" formatCode="_-* #,##0.00\ _€_-;\-* #,##0.00\ _€_-;_-* &quot;-&quot;??\ _€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4EAB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164" fontId="0" fillId="0" borderId="0" xfId="1" applyNumberFormat="1" applyFont="1" applyBorder="1"/>
    <xf numFmtId="165" fontId="2" fillId="0" borderId="0" xfId="0" applyNumberFormat="1" applyFont="1"/>
    <xf numFmtId="0" fontId="3" fillId="0" borderId="0" xfId="0" applyFont="1"/>
    <xf numFmtId="166" fontId="0" fillId="0" borderId="0" xfId="0" applyNumberFormat="1"/>
    <xf numFmtId="164" fontId="2" fillId="0" borderId="0" xfId="0" applyNumberFormat="1" applyFont="1"/>
    <xf numFmtId="166" fontId="2" fillId="0" borderId="0" xfId="0" applyNumberFormat="1" applyFont="1"/>
    <xf numFmtId="0" fontId="0" fillId="2" borderId="0" xfId="0" applyFill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4" xfId="0" applyBorder="1"/>
    <xf numFmtId="0" fontId="2" fillId="3" borderId="4" xfId="0" applyFont="1" applyFill="1" applyBorder="1" applyAlignment="1">
      <alignment vertical="center"/>
    </xf>
    <xf numFmtId="9" fontId="0" fillId="0" borderId="4" xfId="2" applyFont="1" applyBorder="1"/>
    <xf numFmtId="14" fontId="0" fillId="0" borderId="4" xfId="2" applyNumberFormat="1" applyFont="1" applyBorder="1"/>
    <xf numFmtId="14" fontId="0" fillId="0" borderId="4" xfId="0" applyNumberFormat="1" applyBorder="1"/>
    <xf numFmtId="0" fontId="6" fillId="0" borderId="4" xfId="0" applyFont="1" applyBorder="1" applyAlignment="1">
      <alignment vertical="center"/>
    </xf>
    <xf numFmtId="43" fontId="0" fillId="0" borderId="4" xfId="1" applyFont="1" applyBorder="1"/>
    <xf numFmtId="167" fontId="0" fillId="0" borderId="4" xfId="0" applyNumberFormat="1" applyBorder="1"/>
    <xf numFmtId="0" fontId="2" fillId="4" borderId="4" xfId="0" applyFont="1" applyFill="1" applyBorder="1"/>
    <xf numFmtId="0" fontId="2" fillId="5" borderId="4" xfId="0" applyFont="1" applyFill="1" applyBorder="1"/>
    <xf numFmtId="0" fontId="2" fillId="6" borderId="1" xfId="0" applyFont="1" applyFill="1" applyBorder="1"/>
    <xf numFmtId="0" fontId="2" fillId="6" borderId="2" xfId="0" applyFont="1" applyFill="1" applyBorder="1"/>
    <xf numFmtId="0" fontId="2" fillId="6" borderId="3" xfId="0" applyFont="1" applyFill="1" applyBorder="1"/>
    <xf numFmtId="0" fontId="2" fillId="7" borderId="4" xfId="0" applyFont="1" applyFill="1" applyBorder="1"/>
    <xf numFmtId="43" fontId="0" fillId="0" borderId="0" xfId="0" applyNumberFormat="1"/>
    <xf numFmtId="0" fontId="0" fillId="8" borderId="0" xfId="0" applyFill="1"/>
    <xf numFmtId="0" fontId="0" fillId="8" borderId="0" xfId="0" applyFill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left"/>
    </xf>
    <xf numFmtId="0" fontId="0" fillId="0" borderId="3" xfId="0" applyBorder="1"/>
    <xf numFmtId="0" fontId="0" fillId="0" borderId="3" xfId="0" applyBorder="1" applyAlignment="1">
      <alignment vertical="center" wrapText="1"/>
    </xf>
    <xf numFmtId="167" fontId="0" fillId="0" borderId="1" xfId="0" applyNumberFormat="1" applyBorder="1"/>
    <xf numFmtId="0" fontId="0" fillId="0" borderId="8" xfId="0" applyBorder="1"/>
    <xf numFmtId="0" fontId="0" fillId="0" borderId="9" xfId="0" applyBorder="1"/>
    <xf numFmtId="9" fontId="0" fillId="0" borderId="9" xfId="2" applyFont="1" applyBorder="1"/>
    <xf numFmtId="14" fontId="0" fillId="0" borderId="9" xfId="2" applyNumberFormat="1" applyFont="1" applyBorder="1"/>
    <xf numFmtId="14" fontId="0" fillId="0" borderId="9" xfId="0" applyNumberFormat="1" applyBorder="1"/>
    <xf numFmtId="0" fontId="6" fillId="0" borderId="9" xfId="0" applyFont="1" applyBorder="1" applyAlignment="1">
      <alignment vertical="center"/>
    </xf>
    <xf numFmtId="43" fontId="0" fillId="0" borderId="9" xfId="1" applyFont="1" applyBorder="1"/>
    <xf numFmtId="167" fontId="0" fillId="0" borderId="9" xfId="0" applyNumberFormat="1" applyBorder="1"/>
    <xf numFmtId="43" fontId="0" fillId="8" borderId="0" xfId="0" applyNumberFormat="1" applyFill="1"/>
    <xf numFmtId="43" fontId="0" fillId="9" borderId="0" xfId="0" applyNumberFormat="1" applyFill="1"/>
    <xf numFmtId="0" fontId="0" fillId="9" borderId="0" xfId="0" applyFill="1" applyAlignment="1">
      <alignment horizontal="left" indent="1"/>
    </xf>
    <xf numFmtId="0" fontId="0" fillId="11" borderId="0" xfId="0" applyFill="1"/>
    <xf numFmtId="0" fontId="0" fillId="11" borderId="0" xfId="0" applyFill="1" applyAlignment="1">
      <alignment horizontal="left"/>
    </xf>
    <xf numFmtId="43" fontId="0" fillId="11" borderId="0" xfId="0" applyNumberFormat="1" applyFill="1"/>
    <xf numFmtId="0" fontId="0" fillId="11" borderId="0" xfId="0" applyFill="1" applyAlignment="1">
      <alignment horizontal="left" indent="1"/>
    </xf>
    <xf numFmtId="0" fontId="7" fillId="3" borderId="6" xfId="0" applyFont="1" applyFill="1" applyBorder="1" applyAlignment="1">
      <alignment vertical="center"/>
    </xf>
    <xf numFmtId="0" fontId="7" fillId="3" borderId="5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4" borderId="5" xfId="0" applyFont="1" applyFill="1" applyBorder="1" applyAlignment="1">
      <alignment vertical="center"/>
    </xf>
    <xf numFmtId="0" fontId="7" fillId="5" borderId="5" xfId="0" applyFont="1" applyFill="1" applyBorder="1" applyAlignment="1">
      <alignment vertical="center"/>
    </xf>
    <xf numFmtId="0" fontId="7" fillId="6" borderId="5" xfId="0" applyFont="1" applyFill="1" applyBorder="1" applyAlignment="1">
      <alignment vertical="center"/>
    </xf>
    <xf numFmtId="0" fontId="7" fillId="7" borderId="5" xfId="0" applyFont="1" applyFill="1" applyBorder="1" applyAlignment="1">
      <alignment vertical="center"/>
    </xf>
    <xf numFmtId="0" fontId="7" fillId="7" borderId="7" xfId="0" applyFont="1" applyFill="1" applyBorder="1" applyAlignment="1">
      <alignment vertical="center"/>
    </xf>
    <xf numFmtId="0" fontId="8" fillId="0" borderId="0" xfId="0" applyFont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right" vertical="center" wrapText="1"/>
    </xf>
    <xf numFmtId="0" fontId="9" fillId="0" borderId="0" xfId="0" applyFont="1"/>
    <xf numFmtId="0" fontId="10" fillId="0" borderId="0" xfId="0" applyFont="1"/>
    <xf numFmtId="49" fontId="2" fillId="3" borderId="4" xfId="0" applyNumberFormat="1" applyFont="1" applyFill="1" applyBorder="1" applyAlignment="1">
      <alignment vertical="center"/>
    </xf>
    <xf numFmtId="49" fontId="7" fillId="3" borderId="5" xfId="0" applyNumberFormat="1" applyFont="1" applyFill="1" applyBorder="1" applyAlignment="1">
      <alignment vertical="center"/>
    </xf>
    <xf numFmtId="49" fontId="0" fillId="0" borderId="4" xfId="0" applyNumberFormat="1" applyBorder="1"/>
    <xf numFmtId="49" fontId="0" fillId="0" borderId="9" xfId="0" applyNumberFormat="1" applyBorder="1"/>
    <xf numFmtId="49" fontId="0" fillId="0" borderId="0" xfId="0" applyNumberFormat="1"/>
    <xf numFmtId="0" fontId="7" fillId="10" borderId="0" xfId="0" applyFont="1" applyFill="1" applyAlignment="1">
      <alignment horizontal="left"/>
    </xf>
    <xf numFmtId="43" fontId="7" fillId="10" borderId="0" xfId="0" applyNumberFormat="1" applyFont="1" applyFill="1"/>
    <xf numFmtId="0" fontId="7" fillId="10" borderId="0" xfId="0" applyFont="1" applyFill="1" applyAlignment="1">
      <alignment horizontal="left" indent="1"/>
    </xf>
    <xf numFmtId="0" fontId="0" fillId="8" borderId="0" xfId="0" applyNumberFormat="1" applyFill="1"/>
    <xf numFmtId="0" fontId="7" fillId="0" borderId="0" xfId="0" applyFont="1" applyFill="1"/>
    <xf numFmtId="0" fontId="7" fillId="0" borderId="0" xfId="0" applyFont="1" applyFill="1" applyAlignment="1">
      <alignment horizontal="left"/>
    </xf>
    <xf numFmtId="0" fontId="7" fillId="0" borderId="0" xfId="0" applyNumberFormat="1" applyFont="1" applyFill="1"/>
    <xf numFmtId="0" fontId="0" fillId="9" borderId="0" xfId="0" applyNumberFormat="1" applyFill="1"/>
    <xf numFmtId="0" fontId="0" fillId="10" borderId="0" xfId="0" applyNumberFormat="1" applyFill="1"/>
    <xf numFmtId="0" fontId="7" fillId="10" borderId="0" xfId="0" applyNumberFormat="1" applyFont="1" applyFill="1"/>
    <xf numFmtId="0" fontId="0" fillId="9" borderId="0" xfId="0" applyNumberFormat="1" applyFill="1" applyAlignment="1">
      <alignment horizontal="center" vertical="center"/>
    </xf>
    <xf numFmtId="0" fontId="0" fillId="11" borderId="0" xfId="0" applyNumberFormat="1" applyFill="1"/>
  </cellXfs>
  <cellStyles count="3">
    <cellStyle name="Milliers" xfId="1" builtinId="3"/>
    <cellStyle name="Normal" xfId="0" builtinId="0"/>
    <cellStyle name="Pourcentage" xfId="2" builtinId="5"/>
  </cellStyles>
  <dxfs count="280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numFmt numFmtId="35" formatCode="_-* #,##0.00_-;\-* #,##0.00_-;_-* &quot;-&quot;??_-;_-@_-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0" formatCode="General"/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numFmt numFmtId="35" formatCode="_-* #,##0.00_-;\-* #,##0.00_-;_-* &quot;-&quot;??_-;_-@_-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0" formatCode="General"/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numFmt numFmtId="35" formatCode="_-* #,##0.00_-;\-* #,##0.00_-;_-* &quot;-&quot;??_-;_-@_-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0" formatCode="General"/>
    </dxf>
    <dxf>
      <alignment vertical="center"/>
    </dxf>
    <dxf>
      <alignment horizontal="center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numFmt numFmtId="35" formatCode="_-* #,##0.00_-;\-* #,##0.00_-;_-* &quot;-&quot;??_-;_-@_-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numFmt numFmtId="168" formatCode="_-* #,##0\ _€_-;\-* #,##0\ _€_-;_-* &quot;-&quot;??\ _€_-;_-@_-\ &quot;M&quot;"/>
    </dxf>
    <dxf>
      <numFmt numFmtId="169" formatCode="0.0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9" formatCode="0.0"/>
    </dxf>
    <dxf>
      <numFmt numFmtId="168" formatCode="_-* #,##0\ _€_-;\-* #,##0\ _€_-;_-* &quot;-&quot;??\ _€_-;_-@_-\ &quot;M&quot;"/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numFmt numFmtId="35" formatCode="_-* #,##0.00_-;\-* #,##0.00_-;_-* &quot;-&quot;??_-;_-@_-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numFmt numFmtId="35" formatCode="_-* #,##0.00_-;\-* #,##0.00_-;_-* &quot;-&quot;??_-;_-@_-"/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alignment horizontal="center"/>
    </dxf>
    <dxf>
      <alignment vertical="center"/>
    </dxf>
    <dxf>
      <numFmt numFmtId="0" formatCode="General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35" formatCode="_-* #,##0.00_-;\-* #,##0.00_-;_-* &quot;-&quot;??_-;_-@_-"/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fill>
        <patternFill patternType="solid">
          <bgColor rgb="FFF4EAB6"/>
        </patternFill>
      </fill>
    </dxf>
    <dxf>
      <numFmt numFmtId="0" formatCode="General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35" formatCode="_-* #,##0.00_-;\-* #,##0.00_-;_-* &quot;-&quot;??_-;_-@_-"/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numFmt numFmtId="0" formatCode="General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35" formatCode="_-* #,##0.00_-;\-* #,##0.00_-;_-* &quot;-&quot;??_-;_-@_-"/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8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35" formatCode="_-* #,##0.00_-;\-* #,##0.00_-;_-* &quot;-&quot;??_-;_-@_-"/>
    </dxf>
    <dxf>
      <numFmt numFmtId="167" formatCode="_-* #,##0.00\ _€_-;\-* #,##0.00\ _€_-;_-* &quot;-&quot;??\ _€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7" formatCode="_-* #,##0.00\ _€_-;\-* #,##0.00\ _€_-;_-* &quot;-&quot;??\ _€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_-* #,##0.00\ _€_-;\-* #,##0.00\ _€_-;_-* &quot;-&quot;??\ _€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7" formatCode="_-* #,##0.00\ _€_-;\-* #,##0.00\ _€_-;_-* &quot;-&quot;??\ _€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_-* #,##0.00\ _€_-;\-* #,##0.00\ _€_-;_-* &quot;-&quot;??\ _€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7" formatCode="_-* #,##0.00\ _€_-;\-* #,##0.00\ _€_-;_-* &quot;-&quot;??\ _€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</dxf>
    <dxf>
      <fill>
        <patternFill>
          <bgColor theme="7" tint="0.79998168889431442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sz val="8"/>
      </font>
    </dxf>
    <dxf>
      <fill>
        <patternFill>
          <bgColor rgb="FF0070C0"/>
        </patternFill>
      </fill>
    </dxf>
    <dxf>
      <fill>
        <patternFill patternType="none">
          <bgColor auto="1"/>
        </patternFill>
      </fill>
    </dxf>
    <dxf>
      <font>
        <b/>
        <color theme="1"/>
      </font>
      <border>
        <bottom style="thin">
          <color rgb="FF4F81BD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rgb="FF4F81BD"/>
        </bottom>
        <vertical/>
        <horizontal/>
      </border>
    </dxf>
    <dxf>
      <font>
        <sz val="10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rgb="FF4F81BD"/>
        </bottom>
        <vertical/>
        <horizontal/>
      </border>
    </dxf>
    <dxf>
      <font>
        <color theme="1"/>
      </font>
      <fill>
        <patternFill>
          <bgColor theme="7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rgb="FF4F81BD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6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color theme="1"/>
      </font>
      <border>
        <left/>
        <right/>
        <top/>
        <bottom/>
        <vertical/>
        <horizontal/>
      </border>
    </dxf>
  </dxfs>
  <tableStyles count="18" defaultTableStyle="TableStyleMedium2" defaultPivotStyle="PivotStyleLight16">
    <tableStyle name="Sansbordure" pivot="0" table="0" count="10" xr9:uid="{714444CE-B227-4B73-B3A3-282FD9CBB723}">
      <tableStyleElement type="wholeTable" dxfId="279"/>
      <tableStyleElement type="headerRow" dxfId="278"/>
    </tableStyle>
    <tableStyle name="seg" pivot="0" table="0" count="1" xr9:uid="{C30708AD-E162-4AF9-808B-F0007A718F47}">
      <tableStyleElement type="wholeTable" dxfId="277"/>
    </tableStyle>
    <tableStyle name="Slicer_noborde" pivot="0" table="0" count="10" xr9:uid="{79702923-8974-43F2-9FD3-BBED931BC0FB}">
      <tableStyleElement type="wholeTable" dxfId="276"/>
      <tableStyleElement type="headerRow" dxfId="275"/>
    </tableStyle>
    <tableStyle name="Slicer_noborder" pivot="0" table="0" count="10" xr9:uid="{41CEC7D3-4D18-4DC8-B9C2-FE07DB0B96CB}">
      <tableStyleElement type="wholeTable" dxfId="274"/>
      <tableStyleElement type="headerRow" dxfId="273"/>
    </tableStyle>
    <tableStyle name="SlicerStyleDark3 2" pivot="0" table="0" count="10" xr9:uid="{43D2F63C-A0C0-460D-B9E8-17C73B4E8E7A}">
      <tableStyleElement type="wholeTable" dxfId="272"/>
      <tableStyleElement type="headerRow" dxfId="271"/>
    </tableStyle>
    <tableStyle name="SlicerStyleLight4 21" pivot="0" table="0" count="10" xr9:uid="{7E7D6CA6-326D-4EE7-8D5A-4A370695733E}">
      <tableStyleElement type="wholeTable" dxfId="270"/>
      <tableStyleElement type="headerRow" dxfId="269"/>
    </tableStyle>
    <tableStyle name="SlicerStyleLight6 26" pivot="0" table="0" count="10" xr9:uid="{823AC3A2-0368-440C-8CC7-E33ECC2A3709}">
      <tableStyleElement type="wholeTable" dxfId="268"/>
      <tableStyleElement type="headerRow" dxfId="267"/>
    </tableStyle>
    <tableStyle name="SlicerStyleOther1 2" pivot="0" table="0" count="10" xr9:uid="{A16E92D4-37C2-4553-B747-7CEDAD9A4F79}">
      <tableStyleElement type="wholeTable" dxfId="266"/>
      <tableStyleElement type="headerRow" dxfId="265"/>
    </tableStyle>
    <tableStyle name="SlicerStyleOther2 2" pivot="0" table="0" count="10" xr9:uid="{DFCAB87B-A551-486F-9F96-BAB424CDDE59}">
      <tableStyleElement type="wholeTable" dxfId="264"/>
      <tableStyleElement type="headerRow" dxfId="263"/>
    </tableStyle>
    <tableStyle name="SlicerStyleOther2 2 2" pivot="0" table="0" count="10" xr9:uid="{146C8852-653D-4EB9-8611-FC5374573B09}">
      <tableStyleElement type="wholeTable" dxfId="262"/>
      <tableStyleElement type="headerRow" dxfId="261"/>
    </tableStyle>
    <tableStyle name="SlicerStyleOther2 2 3" pivot="0" table="0" count="10" xr9:uid="{CB231692-A57B-4CAD-9741-25CE82F2EE83}">
      <tableStyleElement type="wholeTable" dxfId="260"/>
      <tableStyleElement type="headerRow" dxfId="259"/>
    </tableStyle>
    <tableStyle name="SlicerStyleOther2 3" pivot="0" table="0" count="10" xr9:uid="{5922E214-BCEA-4E48-A3E3-FA3680738740}">
      <tableStyleElement type="wholeTable" dxfId="258"/>
      <tableStyleElement type="headerRow" dxfId="257"/>
    </tableStyle>
    <tableStyle name="Style de segment 1" pivot="0" table="0" count="1" xr9:uid="{9F7221A1-C69A-445D-83AC-F9803E3CBED8}">
      <tableStyleElement type="wholeTable" dxfId="256"/>
    </tableStyle>
    <tableStyle name="Style de segment 2" pivot="0" table="0" count="1" xr9:uid="{3D4ECBC6-F78F-4A9F-AAFA-C85682C0F46A}">
      <tableStyleElement type="wholeTable" dxfId="255"/>
    </tableStyle>
    <tableStyle name="Style de segment 222" pivot="0" table="0" count="1" xr9:uid="{257341A5-C2F3-4F80-9271-B78349E6CB0D}">
      <tableStyleElement type="wholeTable" dxfId="254"/>
    </tableStyle>
    <tableStyle name="Style de segment 3" pivot="0" table="0" count="1" xr9:uid="{5191A073-9F6D-4D23-92F4-A752A675E177}">
      <tableStyleElement type="wholeTable" dxfId="253"/>
    </tableStyle>
    <tableStyle name="Style de segment 44" pivot="0" table="0" count="1" xr9:uid="{2484888C-ADFF-427E-B240-6527996C81EB}">
      <tableStyleElement type="wholeTable" dxfId="252"/>
    </tableStyle>
    <tableStyle name="Style de segment 4dd" pivot="0" table="0" count="1" xr9:uid="{B09D3F83-CBEE-4659-A58D-DCC17FBC91D6}">
      <tableStyleElement type="wholeTable" dxfId="251"/>
    </tableStyle>
  </tableStyles>
  <colors>
    <mruColors>
      <color rgb="FF0071C2"/>
      <color rgb="FFBBD3EB"/>
      <color rgb="FFFFFFFF"/>
      <color rgb="FF9FD7F3"/>
      <color rgb="FFA1DFF5"/>
      <color rgb="FFFF5353"/>
      <color rgb="FFFF8B8B"/>
      <color rgb="FF175395"/>
      <color rgb="FFE2F1CB"/>
      <color rgb="FFF4EAB6"/>
    </mruColors>
  </colors>
  <extLst>
    <ext xmlns:x14="http://schemas.microsoft.com/office/spreadsheetml/2009/9/main" uri="{46F421CA-312F-682f-3DD2-61675219B42D}">
      <x14:dxfs count="88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6" tint="-0.249977111117893"/>
          </font>
          <fill>
            <patternFill patternType="solid">
              <fgColor theme="6" tint="0.59999389629810485"/>
              <bgColor theme="6" tint="0.59999389629810485"/>
            </patternFill>
          </fill>
          <border>
            <left style="thin">
              <color theme="6" tint="0.59999389629810485"/>
            </left>
            <right style="thin">
              <color theme="6" tint="0.59999389629810485"/>
            </right>
            <top style="thin">
              <color theme="6" tint="0.59999389629810485"/>
            </top>
            <bottom style="thin">
              <color theme="6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6"/>
              <bgColor theme="6"/>
            </patternFill>
          </fill>
          <border>
            <left style="thin">
              <color theme="6"/>
            </left>
            <right style="thin">
              <color theme="6"/>
            </right>
            <top style="thin">
              <color theme="6"/>
            </top>
            <bottom style="thin">
              <color theme="6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6" tint="-0.249977111117893"/>
          </font>
          <fill>
            <patternFill patternType="solid">
              <fgColor theme="6" tint="0.59999389629810485"/>
              <bgColor theme="6" tint="0.59999389629810485"/>
            </patternFill>
          </fill>
          <border>
            <left style="thin">
              <color theme="6" tint="0.59999389629810485"/>
            </left>
            <right style="thin">
              <color theme="6" tint="0.59999389629810485"/>
            </right>
            <top style="thin">
              <color theme="6" tint="0.59999389629810485"/>
            </top>
            <bottom style="thin">
              <color theme="6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6"/>
              <bgColor theme="6"/>
            </patternFill>
          </fill>
          <border>
            <left style="thin">
              <color theme="6"/>
            </left>
            <right style="thin">
              <color theme="6"/>
            </right>
            <top style="thin">
              <color theme="6"/>
            </top>
            <bottom style="thin">
              <color theme="6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ansbordure">
          <x14:slicerStyleElements>
            <x14:slicerStyleElement type="unselectedItemWithData" dxfId="87"/>
            <x14:slicerStyleElement type="unselectedItemWithNoData" dxfId="86"/>
            <x14:slicerStyleElement type="selectedItemWithData" dxfId="85"/>
            <x14:slicerStyleElement type="selectedItemWithNoData" dxfId="84"/>
            <x14:slicerStyleElement type="hoveredUnselectedItemWithData" dxfId="83"/>
            <x14:slicerStyleElement type="hoveredSelectedItemWithData" dxfId="82"/>
            <x14:slicerStyleElement type="hoveredUnselectedItemWithNoData" dxfId="81"/>
            <x14:slicerStyleElement type="hoveredSelectedItemWithNoData" dxfId="80"/>
          </x14:slicerStyleElements>
        </x14:slicerStyle>
        <x14:slicerStyle name="seg"/>
        <x14:slicerStyle name="Slicer_noborde">
          <x14:slicerStyleElements>
            <x14:slicerStyleElement type="unselectedItemWithData" dxfId="79"/>
            <x14:slicerStyleElement type="unselectedItemWithNoData" dxfId="78"/>
            <x14:slicerStyleElement type="selectedItemWithData" dxfId="77"/>
            <x14:slicerStyleElement type="selectedItemWithNoData" dxfId="76"/>
            <x14:slicerStyleElement type="hoveredUnselectedItemWithData" dxfId="75"/>
            <x14:slicerStyleElement type="hoveredSelectedItemWithData" dxfId="74"/>
            <x14:slicerStyleElement type="hoveredUnselectedItemWithNoData" dxfId="73"/>
            <x14:slicerStyleElement type="hoveredSelectedItemWithNoData" dxfId="72"/>
          </x14:slicerStyleElements>
        </x14:slicerStyle>
        <x14:slicerStyle name="Slicer_noborder">
          <x14:slicerStyleElements>
            <x14:slicerStyleElement type="unselectedItemWithData" dxfId="71"/>
            <x14:slicerStyleElement type="unselectedItemWithNoData" dxfId="70"/>
            <x14:slicerStyleElement type="selectedItemWithData" dxfId="69"/>
            <x14:slicerStyleElement type="selectedItemWithNoData" dxfId="68"/>
            <x14:slicerStyleElement type="hoveredUnselectedItemWithData" dxfId="67"/>
            <x14:slicerStyleElement type="hoveredSelectedItemWithData" dxfId="66"/>
            <x14:slicerStyleElement type="hoveredUnselectedItemWithNoData" dxfId="65"/>
            <x14:slicerStyleElement type="hoveredSelectedItemWithNoData" dxfId="64"/>
          </x14:slicerStyleElements>
        </x14:slicerStyle>
        <x14:slicerStyle name="SlicerStyleDark3 2">
          <x14:slicerStyleElements>
            <x14:slicerStyleElement type="unselectedItemWithData" dxfId="63"/>
            <x14:slicerStyleElement type="unselectedItemWithNoData" dxfId="62"/>
            <x14:slicerStyleElement type="selectedItemWithData" dxfId="61"/>
            <x14:slicerStyleElement type="selectedItemWithNoData" dxfId="60"/>
            <x14:slicerStyleElement type="hoveredUnselectedItemWithData" dxfId="59"/>
            <x14:slicerStyleElement type="hoveredSelectedItemWithData" dxfId="58"/>
            <x14:slicerStyleElement type="hoveredUnselectedItemWithNoData" dxfId="57"/>
            <x14:slicerStyleElement type="hoveredSelectedItemWithNoData" dxfId="56"/>
          </x14:slicerStyleElements>
        </x14:slicerStyle>
        <x14:slicerStyle name="SlicerStyleLight4 21">
          <x14:slicerStyleElements>
            <x14:slicerStyleElement type="unselectedItemWithData" dxfId="55"/>
            <x14:slicerStyleElement type="unselectedItemWithNoData" dxfId="54"/>
            <x14:slicerStyleElement type="selectedItemWithData" dxfId="53"/>
            <x14:slicerStyleElement type="selectedItemWithNoData" dxfId="52"/>
            <x14:slicerStyleElement type="hoveredUnselectedItemWithData" dxfId="51"/>
            <x14:slicerStyleElement type="hoveredSelectedItemWithData" dxfId="50"/>
            <x14:slicerStyleElement type="hoveredUnselectedItemWithNoData" dxfId="49"/>
            <x14:slicerStyleElement type="hoveredSelectedItemWithNoData" dxfId="48"/>
          </x14:slicerStyleElements>
        </x14:slicerStyle>
        <x14:slicerStyle name="SlicerStyleLight6 26">
          <x14:slicerStyleElements>
            <x14:slicerStyleElement type="unselectedItemWithData" dxfId="47"/>
            <x14:slicerStyleElement type="unselectedItemWithNoData" dxfId="46"/>
            <x14:slicerStyleElement type="selectedItemWithData" dxfId="45"/>
            <x14:slicerStyleElement type="selectedItemWithNoData" dxfId="44"/>
            <x14:slicerStyleElement type="hoveredUnselectedItemWithData" dxfId="43"/>
            <x14:slicerStyleElement type="hoveredSelectedItemWithData" dxfId="42"/>
            <x14:slicerStyleElement type="hoveredUnselectedItemWithNoData" dxfId="41"/>
            <x14:slicerStyleElement type="hoveredSelectedItemWithNoData" dxfId="40"/>
          </x14:slicerStyleElements>
        </x14:slicerStyle>
        <x14:slicerStyle name="SlicerStyleOther1 2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Other2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Other2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Other2 2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Other2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  <x14:slicerStyle name="Style de segment 1"/>
        <x14:slicerStyle name="Style de segment 2"/>
        <x14:slicerStyle name="Style de segment 222"/>
        <x14:slicerStyle name="Style de segment 3"/>
        <x14:slicerStyle name="Style de segment 44"/>
        <x14:slicerStyle name="Style de segment 4dd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7/relationships/slicerCache" Target="slicerCaches/slicerCache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7/relationships/slicerCache" Target="slicerCaches/slicer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[Credit_Rec_Dashboard.xlsm]traitement!Tableau croisé dynamique5</c:name>
    <c:fmtId val="4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3611111111111113"/>
              <c:y val="-0.1203703703703703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3333333333333322"/>
              <c:y val="0.2268518518518518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3333333333333322"/>
              <c:y val="0.2268518518518518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3611111111111113"/>
              <c:y val="-0.1203703703703703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22533686017701418"/>
              <c:y val="0.21391192357435515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875420262334736"/>
                  <c:h val="0.45605145037006445"/>
                </c:manualLayout>
              </c15:layout>
            </c:ext>
          </c:extLst>
        </c:dLbl>
      </c:pivotFmt>
      <c:pivotFmt>
        <c:idx val="8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27721739186983413"/>
              <c:y val="-0.1591902055189053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294960753838447"/>
                  <c:h val="0.42154470661116605"/>
                </c:manualLayout>
              </c15:layout>
            </c:ext>
          </c:extLst>
        </c:dLbl>
      </c:pivotFmt>
      <c:pivotFmt>
        <c:idx val="9"/>
        <c:dLbl>
          <c:idx val="0"/>
          <c:layout>
            <c:manualLayout>
              <c:x val="-0.22712049579575092"/>
              <c:y val="-0.11214691721641981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dLbl>
          <c:idx val="0"/>
          <c:layout>
            <c:manualLayout>
              <c:x val="0.18995532375644619"/>
              <c:y val="2.588005781917375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dLbl>
          <c:idx val="0"/>
          <c:layout>
            <c:manualLayout>
              <c:x val="0.19821425087629152"/>
              <c:y val="3.0193400789036096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148777743817186"/>
                  <c:h val="0.40547054156568235"/>
                </c:manualLayout>
              </c15:layout>
            </c:ext>
          </c:extLst>
        </c:dLbl>
      </c:pivotFmt>
      <c:pivotFmt>
        <c:idx val="12"/>
        <c:dLbl>
          <c:idx val="0"/>
          <c:layout>
            <c:manualLayout>
              <c:x val="-0.16104907883698699"/>
              <c:y val="-8.6266859397246015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
</a:t>
                </a:r>
                <a:fld id="{59AF5DA0-CFDD-4B75-8F66-B2E51A0D1969}" type="VALUE">
                  <a:rPr lang="en-US" baseline="0"/>
                  <a:pPr>
                    <a:defRPr sz="1000" b="1" i="0" u="none" strike="noStrike" kern="1200" baseline="0">
                      <a:solidFill>
                        <a:schemeClr val="dk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[VALEUR]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7496992319848087"/>
                  <c:h val="0.3623371118670593"/>
                </c:manualLayout>
              </c15:layout>
              <c15:dlblFieldTable/>
              <c15:showDataLabelsRange val="0"/>
            </c:ext>
          </c:extLst>
        </c:dLbl>
      </c:pivotFmt>
      <c:pivotFmt>
        <c:idx val="13"/>
        <c:dLbl>
          <c:idx val="0"/>
          <c:layout>
            <c:manualLayout>
              <c:x val="-0.13214283391752779"/>
              <c:y val="-0.10352023127669521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dLbl>
          <c:idx val="0"/>
          <c:layout>
            <c:manualLayout>
              <c:x val="0.14866068815721861"/>
              <c:y val="-2.588005781917379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21967326566220913"/>
              <c:y val="-9.782538274204871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6577793229296733"/>
              <c:y val="9.671921747331939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dLbl>
          <c:idx val="0"/>
          <c:layout>
            <c:manualLayout>
              <c:x val="-0.12851964111126893"/>
              <c:y val="3.464438696143493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4"/>
        <c:dLbl>
          <c:idx val="0"/>
          <c:layout>
            <c:manualLayout>
              <c:x val="0.1699775898568395"/>
              <c:y val="-6.928877392286994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5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4095702573494009"/>
              <c:y val="6.062767718251112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6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1608225648759771"/>
              <c:y val="0.1125942576246635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8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6114343241208454"/>
              <c:y val="-7.31489590309310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273190362029333"/>
                  <c:h val="0.25868283744103382"/>
                </c:manualLayout>
              </c15:layout>
            </c:ext>
          </c:extLst>
        </c:dLbl>
      </c:pivotFmt>
      <c:pivotFmt>
        <c:idx val="29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2727834038449545"/>
              <c:y val="-8.226415372048011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3731369571069407"/>
                  <c:h val="0.2586828374410338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traitement!$I$3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EA-4FD5-8ED6-B2A547D42B4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EA-4FD5-8ED6-B2A547D42B4A}"/>
              </c:ext>
            </c:extLst>
          </c:dPt>
          <c:dLbls>
            <c:dLbl>
              <c:idx val="0"/>
              <c:layout>
                <c:manualLayout>
                  <c:x val="0.16114343241208454"/>
                  <c:y val="-7.3148959030931021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dk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6273190362029333"/>
                      <c:h val="0.258682837441033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DEA-4FD5-8ED6-B2A547D42B4A}"/>
                </c:ext>
              </c:extLst>
            </c:dLbl>
            <c:dLbl>
              <c:idx val="1"/>
              <c:layout>
                <c:manualLayout>
                  <c:x val="-0.12727834038449545"/>
                  <c:y val="-8.226415372048011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dk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3731369571069407"/>
                      <c:h val="0.258682837441033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DEA-4FD5-8ED6-B2A547D42B4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traitement!$H$4:$H$6</c:f>
              <c:strCache>
                <c:ptCount val="2"/>
                <c:pt idx="0">
                  <c:v>KO</c:v>
                </c:pt>
                <c:pt idx="1">
                  <c:v>OK</c:v>
                </c:pt>
              </c:strCache>
            </c:strRef>
          </c:cat>
          <c:val>
            <c:numRef>
              <c:f>traitement!$I$4:$I$6</c:f>
              <c:numCache>
                <c:formatCode>General</c:formatCode>
                <c:ptCount val="2"/>
                <c:pt idx="0">
                  <c:v>52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A-4FD5-8ED6-B2A547D42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[Credit_Rec_Dashboard.xlsm]traitement!Tableau croisé dynamique6</c:name>
    <c:fmtId val="16"/>
  </c:pivotSource>
  <c:chart>
    <c:autoTitleDeleted val="1"/>
    <c:pivotFmts>
      <c:pivotFmt>
        <c:idx val="0"/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6.3043716327043905E-2"/>
              <c:y val="-7.3849918358042999E-2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5271327158228147E-2"/>
                  <c:h val="0.17320732715242471"/>
                </c:manualLayout>
              </c15:layout>
            </c:ext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16646732448118876"/>
              <c:y val="-0.1164634836268898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1030012971197478"/>
                  <c:h val="0.1923800557617043"/>
                </c:manualLayout>
              </c15:layout>
            </c:ext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2.2849408938450388E-3"/>
              <c:y val="-9.2162041885688772E-2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965253901760712"/>
                  <c:h val="0.28787744867721415"/>
                </c:manualLayout>
              </c15:layout>
            </c:ext>
          </c:extLst>
        </c:dLbl>
      </c:pivotFmt>
      <c:pivotFmt>
        <c:idx val="10"/>
        <c:dLbl>
          <c:idx val="0"/>
          <c:layout>
            <c:manualLayout>
              <c:x val="9.8949987034012088E-2"/>
              <c:y val="6.1556003937396839E-2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9.813098170694283E-2"/>
                  <c:h val="0.20036859056364739"/>
                </c:manualLayout>
              </c15:layout>
            </c:ext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5.982822401392994E-2"/>
              <c:y val="5.1280998626596699E-3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3096466813677018"/>
                  <c:h val="0.28975286260584965"/>
                </c:manualLayout>
              </c15:layout>
            </c:ext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4.7215697133008223E-2"/>
              <c:y val="-3.8377207096513682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445643704227371"/>
                  <c:h val="0.2239952967850434"/>
                </c:manualLayout>
              </c15:layout>
            </c:ext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4.5849975510577373E-2"/>
              <c:y val="-2.9539967343217177E-2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9092158450776254E-2"/>
                  <c:h val="0.24213391761993153"/>
                </c:manualLayout>
              </c15:layout>
            </c:ext>
          </c:extLst>
        </c:dLbl>
      </c:pivotFmt>
      <c:pivotFmt>
        <c:idx val="14"/>
        <c:dLbl>
          <c:idx val="0"/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1201714620606495"/>
                  <c:h val="0.22244060605778668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080411134092236"/>
          <c:y val="0.12915902221535183"/>
          <c:w val="0.75154938957784101"/>
          <c:h val="0.7761243614933900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traitement!$AE$3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E5B3-432F-886E-39B738BBC42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5B3-432F-886E-39B738BBC4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traitement!$AD$4:$AD$6</c:f>
              <c:strCache>
                <c:ptCount val="2"/>
                <c:pt idx="0">
                  <c:v>Echue</c:v>
                </c:pt>
                <c:pt idx="1">
                  <c:v>Valide</c:v>
                </c:pt>
              </c:strCache>
            </c:strRef>
          </c:cat>
          <c:val>
            <c:numRef>
              <c:f>traitement!$AE$4:$AE$6</c:f>
              <c:numCache>
                <c:formatCode>General</c:formatCode>
                <c:ptCount val="2"/>
                <c:pt idx="0">
                  <c:v>55</c:v>
                </c:pt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3-432F-886E-39B738BBC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15743560"/>
        <c:axId val="615745000"/>
      </c:barChart>
      <c:catAx>
        <c:axId val="6157435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5745000"/>
        <c:crosses val="autoZero"/>
        <c:auto val="1"/>
        <c:lblAlgn val="ctr"/>
        <c:lblOffset val="100"/>
        <c:noMultiLvlLbl val="0"/>
      </c:catAx>
      <c:valAx>
        <c:axId val="6157450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574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[Credit_Rec_Dashboard.xlsm]traitement!Tableau croisé dynamique7</c:name>
    <c:fmtId val="26"/>
  </c:pivotSource>
  <c:chart>
    <c:autoTitleDeleted val="1"/>
    <c:pivotFmts>
      <c:pivotFmt>
        <c:idx val="0"/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-4.6978565179352581E-2"/>
              <c:y val="8.9577865266841639E-3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3.9337926509186355E-2"/>
              <c:y val="5.2316637503645375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3.9337926509186355E-2"/>
              <c:y val="5.2316637503645375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4.6978565179352581E-2"/>
              <c:y val="8.9577865266841639E-3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0.10226481688434337"/>
              <c:y val="-1.6363749570281388E-2"/>
            </c:manualLayout>
          </c:layout>
          <c:tx>
            <c:rich>
              <a:bodyPr/>
              <a:lstStyle/>
              <a:p>
                <a:fld id="{1C201031-BBC7-4377-B6B6-406F92F72563}" type="CATEGORYNAME">
                  <a:rPr lang="en-US" sz="1000" b="0"/>
                  <a:pPr/>
                  <a:t>[NOM DE CATÉGORIE]</a:t>
                </a:fld>
                <a:r>
                  <a:rPr lang="en-US" sz="1000" baseline="0"/>
                  <a:t>
</a:t>
                </a:r>
                <a:fld id="{565AF45B-3325-4E69-B5BE-3CEADDBF6398}" type="VALUE">
                  <a:rPr lang="en-US" sz="1000" baseline="0"/>
                  <a:pPr/>
                  <a:t>[VALEUR]</a:t>
                </a:fld>
                <a:endParaRPr lang="en-US" sz="1000" baseline="0"/>
              </a:p>
            </c:rich>
          </c:tx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4827536429690245"/>
                  <c:h val="0.26263074539530468"/>
                </c:manualLayout>
              </c15:layout>
              <c15:dlblFieldTable/>
              <c15:showDataLabelsRange val="0"/>
            </c:ext>
          </c:extLst>
        </c:dLbl>
      </c:pivotFmt>
      <c:pivotFmt>
        <c:idx val="8"/>
        <c:dLbl>
          <c:idx val="0"/>
          <c:layout>
            <c:manualLayout>
              <c:x val="-0.12519177346973753"/>
              <c:y val="3.3118965310533352E-7"/>
            </c:manualLayout>
          </c:layout>
          <c:tx>
            <c:rich>
              <a:bodyPr/>
              <a:lstStyle/>
              <a:p>
                <a:fld id="{2D36D0EC-1359-4E84-87BE-24B866A17362}" type="CATEGORYNAME">
                  <a:rPr lang="en-US" sz="1000" b="0"/>
                  <a:pPr/>
                  <a:t>[NOM DE CATÉGORIE]</a:t>
                </a:fld>
                <a:r>
                  <a:rPr lang="en-US" sz="1000" baseline="0"/>
                  <a:t>
</a:t>
                </a:r>
                <a:fld id="{40AB820F-38FE-4574-9506-E358F1612BD6}" type="VALUE">
                  <a:rPr lang="en-US" sz="1000" baseline="0"/>
                  <a:pPr/>
                  <a:t>[VALEUR]</a:t>
                </a:fld>
                <a:endParaRPr lang="en-US" sz="1000" baseline="0"/>
              </a:p>
            </c:rich>
          </c:tx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534166549507402"/>
                  <c:h val="0.27384880132528849"/>
                </c:manualLayout>
              </c15:layout>
              <c15:dlblFieldTable/>
              <c15:showDataLabelsRange val="0"/>
            </c:ext>
          </c:extLst>
        </c:dLbl>
      </c:pivotFmt>
      <c:pivotFmt>
        <c:idx val="9"/>
        <c:dLbl>
          <c:idx val="0"/>
          <c:layout>
            <c:manualLayout>
              <c:x val="7.7291785740669541E-2"/>
              <c:y val="-0.13621235231489043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548054625978024"/>
                  <c:h val="0.25566980126633676"/>
                </c:manualLayout>
              </c15:layout>
            </c:ext>
          </c:extLst>
        </c:dLbl>
      </c:pivotFmt>
      <c:pivotFmt>
        <c:idx val="10"/>
        <c:dLbl>
          <c:idx val="0"/>
          <c:layout>
            <c:manualLayout>
              <c:x val="-9.5667120654233939E-2"/>
              <c:y val="0.17247363564766446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113864373345094"/>
                  <c:h val="0.30614312321243481"/>
                </c:manualLayout>
              </c15:layout>
            </c:ext>
          </c:extLst>
        </c:dLbl>
      </c:pivotFmt>
      <c:pivotFmt>
        <c:idx val="11"/>
        <c:dLbl>
          <c:idx val="0"/>
          <c:layout>
            <c:manualLayout>
              <c:x val="7.9679000400057404E-2"/>
              <c:y val="-7.8696578549988239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8548952347304984"/>
                  <c:h val="0.3667188022948461"/>
                </c:manualLayout>
              </c15:layout>
            </c:ext>
          </c:extLst>
        </c:dLbl>
      </c:pivotFmt>
      <c:pivotFmt>
        <c:idx val="12"/>
        <c:dLbl>
          <c:idx val="0"/>
          <c:layout>
            <c:manualLayout>
              <c:x val="-6.5086220201593561E-2"/>
              <c:y val="7.2264724252158921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4552411295262444"/>
                  <c:h val="0.33325031512695491"/>
                </c:manualLayout>
              </c15:layout>
            </c:ext>
          </c:extLst>
        </c:dLbl>
      </c:pivotFmt>
      <c:pivotFmt>
        <c:idx val="13"/>
        <c:dLbl>
          <c:idx val="0"/>
          <c:layout>
            <c:manualLayout>
              <c:x val="0.10697862699015948"/>
              <c:y val="-2.9442760161064147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6779636117477618"/>
                  <c:h val="0.25754036042707568"/>
                </c:manualLayout>
              </c15:layout>
            </c:ext>
          </c:extLst>
        </c:dLbl>
      </c:pivotFmt>
      <c:pivotFmt>
        <c:idx val="14"/>
        <c:dLbl>
          <c:idx val="0"/>
          <c:layout>
            <c:manualLayout>
              <c:x val="1.9048548460497038E-2"/>
              <c:y val="8.1096398766807937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526860081471094"/>
                  <c:h val="0.39449650639406514"/>
                </c:manualLayout>
              </c15:layout>
            </c:ext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2.0083392372734168E-2"/>
              <c:y val="-6.2600564818102222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1.1445834317323347E-2"/>
              <c:y val="-9.4834530104700998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traitement!$AA$3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E82-47B8-BEBC-705A9C3698E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E82-47B8-BEBC-705A9C3698E1}"/>
              </c:ext>
            </c:extLst>
          </c:dPt>
          <c:dLbls>
            <c:dLbl>
              <c:idx val="0"/>
              <c:layout>
                <c:manualLayout>
                  <c:x val="2.0083392372734168E-2"/>
                  <c:y val="-6.260056481810222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82-47B8-BEBC-705A9C3698E1}"/>
                </c:ext>
              </c:extLst>
            </c:dLbl>
            <c:dLbl>
              <c:idx val="1"/>
              <c:layout>
                <c:manualLayout>
                  <c:x val="-1.1445834317323347E-2"/>
                  <c:y val="-9.483453010470099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82-47B8-BEBC-705A9C3698E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traitement!$Z$4:$Z$6</c:f>
              <c:strCache>
                <c:ptCount val="2"/>
                <c:pt idx="0">
                  <c:v>KO</c:v>
                </c:pt>
                <c:pt idx="1">
                  <c:v>OK</c:v>
                </c:pt>
              </c:strCache>
            </c:strRef>
          </c:cat>
          <c:val>
            <c:numRef>
              <c:f>traitement!$AA$4:$AA$6</c:f>
              <c:numCache>
                <c:formatCode>General</c:formatCode>
                <c:ptCount val="2"/>
                <c:pt idx="0">
                  <c:v>55</c:v>
                </c:pt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82-47B8-BEBC-705A9C3698E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[Credit_Rec_Dashboard.xlsm]traitement!Tableau croisé dynamique11</c:name>
    <c:fmtId val="2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1">
              <a:lumMod val="85000"/>
              <a:lumOff val="1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traitement!$N$3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199-40E2-8431-EEC74418E6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traitement!$M$4:$M$5</c:f>
              <c:strCache>
                <c:ptCount val="1"/>
                <c:pt idx="0">
                  <c:v>A renouveller</c:v>
                </c:pt>
              </c:strCache>
            </c:strRef>
          </c:cat>
          <c:val>
            <c:numRef>
              <c:f>traitement!$N$4:$N$5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99-40E2-8431-EEC74418E6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13002064"/>
        <c:axId val="1013009984"/>
      </c:barChart>
      <c:catAx>
        <c:axId val="101300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3009984"/>
        <c:crosses val="autoZero"/>
        <c:auto val="1"/>
        <c:lblAlgn val="ctr"/>
        <c:lblOffset val="100"/>
        <c:noMultiLvlLbl val="0"/>
      </c:catAx>
      <c:valAx>
        <c:axId val="10130099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30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F0-4E05-8DE4-F8B7C0ED86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F0-4E05-8DE4-F8B7C0ED86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0071C2"/>
            </a:solidFill>
          </c:spPr>
          <c:dPt>
            <c:idx val="0"/>
            <c:bubble3D val="0"/>
            <c:spPr>
              <a:solidFill>
                <a:srgbClr val="0071C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24-423E-8B8F-49E0202750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4-423E-8B8F-49E0202750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F0-4E05-8DE4-F8B7C0ED86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F0-4E05-8DE4-F8B7C0ED86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24-423E-8B8F-49E0202750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4-423E-8B8F-49E0202750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F0-4E05-8DE4-F8B7C0ED86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F0-4E05-8DE4-F8B7C0ED86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24-423E-8B8F-49E0202750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4-423E-8B8F-49E0202750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F0-4E05-8DE4-F8B7C0ED86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F0-4E05-8DE4-F8B7C0ED86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24-423E-8B8F-49E0202750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4-423E-8B8F-49E0202750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[Credit_Rec_Dashboard.xlsm]traitement!Tableau croisé dynamique5</c:name>
    <c:fmtId val="6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3611111111111113"/>
              <c:y val="-0.1203703703703703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3333333333333322"/>
              <c:y val="0.2268518518518518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3333333333333322"/>
              <c:y val="0.2268518518518518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3611111111111113"/>
              <c:y val="-0.12037037037037036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22533686017701418"/>
              <c:y val="0.21391192357435515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875420262334736"/>
                  <c:h val="0.45605145037006445"/>
                </c:manualLayout>
              </c15:layout>
            </c:ext>
          </c:extLst>
        </c:dLbl>
      </c:pivotFmt>
      <c:pivotFmt>
        <c:idx val="8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27721739186983413"/>
              <c:y val="-0.1591902055189053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294960753838447"/>
                  <c:h val="0.42154470661116605"/>
                </c:manualLayout>
              </c15:layout>
            </c:ext>
          </c:extLst>
        </c:dLbl>
      </c:pivotFmt>
      <c:pivotFmt>
        <c:idx val="9"/>
        <c:dLbl>
          <c:idx val="0"/>
          <c:layout>
            <c:manualLayout>
              <c:x val="-0.22712049579575092"/>
              <c:y val="-0.11214691721641981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dLbl>
          <c:idx val="0"/>
          <c:layout>
            <c:manualLayout>
              <c:x val="0.18995532375644619"/>
              <c:y val="2.588005781917375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dLbl>
          <c:idx val="0"/>
          <c:layout>
            <c:manualLayout>
              <c:x val="0.19821425087629152"/>
              <c:y val="3.0193400789036096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148777743817186"/>
                  <c:h val="0.40547054156568235"/>
                </c:manualLayout>
              </c15:layout>
            </c:ext>
          </c:extLst>
        </c:dLbl>
      </c:pivotFmt>
      <c:pivotFmt>
        <c:idx val="12"/>
        <c:dLbl>
          <c:idx val="0"/>
          <c:layout>
            <c:manualLayout>
              <c:x val="-0.16104907883698699"/>
              <c:y val="-8.6266859397246015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
</a:t>
                </a:r>
                <a:fld id="{59AF5DA0-CFDD-4B75-8F66-B2E51A0D1969}" type="VALUE">
                  <a:rPr lang="en-US" baseline="0"/>
                  <a:pPr>
                    <a:defRPr sz="1000" b="1" i="0" u="none" strike="noStrike" kern="1200" baseline="0">
                      <a:solidFill>
                        <a:schemeClr val="dk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[VALEUR]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7496992319848087"/>
                  <c:h val="0.3623371118670593"/>
                </c:manualLayout>
              </c15:layout>
              <c15:dlblFieldTable/>
              <c15:showDataLabelsRange val="0"/>
            </c:ext>
          </c:extLst>
        </c:dLbl>
      </c:pivotFmt>
      <c:pivotFmt>
        <c:idx val="13"/>
        <c:dLbl>
          <c:idx val="0"/>
          <c:layout>
            <c:manualLayout>
              <c:x val="-0.13214283391752779"/>
              <c:y val="-0.10352023127669521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dLbl>
          <c:idx val="0"/>
          <c:layout>
            <c:manualLayout>
              <c:x val="0.14866068815721861"/>
              <c:y val="-2.588005781917379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21967326566220913"/>
              <c:y val="-9.782538274204871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6577793229296733"/>
              <c:y val="9.671921747331939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dLbl>
          <c:idx val="0"/>
          <c:layout>
            <c:manualLayout>
              <c:x val="-0.12851964111126893"/>
              <c:y val="3.464438696143493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4"/>
        <c:dLbl>
          <c:idx val="0"/>
          <c:layout>
            <c:manualLayout>
              <c:x val="0.1699775898568395"/>
              <c:y val="-6.928877392286994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5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4095702573494009"/>
              <c:y val="6.062767718251112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6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1608225648759771"/>
              <c:y val="0.1125942576246635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8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6114343241208454"/>
              <c:y val="-7.31489590309310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273190362029333"/>
                  <c:h val="0.25868283744103382"/>
                </c:manualLayout>
              </c15:layout>
            </c:ext>
          </c:extLst>
        </c:dLbl>
      </c:pivotFmt>
      <c:pivotFmt>
        <c:idx val="29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2727834038449545"/>
              <c:y val="-8.226415372048011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3731369571069407"/>
                  <c:h val="0.25868283744103382"/>
                </c:manualLayout>
              </c15:layout>
            </c:ext>
          </c:extLst>
        </c:dLbl>
      </c:pivotFmt>
      <c:pivotFmt>
        <c:idx val="3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1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16114343241208454"/>
              <c:y val="-7.314895903093102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273190362029333"/>
                  <c:h val="0.25868283744103382"/>
                </c:manualLayout>
              </c15:layout>
            </c:ext>
          </c:extLst>
        </c:dLbl>
      </c:pivotFmt>
      <c:pivotFmt>
        <c:idx val="32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2727834038449545"/>
              <c:y val="-8.226415372048011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3731369571069407"/>
                  <c:h val="0.25868283744103382"/>
                </c:manualLayout>
              </c15:layout>
            </c:ext>
          </c:extLst>
        </c:dLbl>
      </c:pivotFmt>
      <c:pivotFmt>
        <c:idx val="3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4"/>
        <c:spPr>
          <a:gradFill rotWithShape="1">
            <a:gsLst>
              <a:gs pos="0">
                <a:schemeClr val="accent6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.20348416878351661"/>
              <c:y val="-2.875296634938651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741337636315749"/>
                  <c:h val="0.34747482280412284"/>
                </c:manualLayout>
              </c15:layout>
            </c:ext>
          </c:extLst>
        </c:dLbl>
      </c:pivotFmt>
      <c:pivotFmt>
        <c:idx val="35"/>
        <c:spPr>
          <a:gradFill rotWithShape="1">
            <a:gsLst>
              <a:gs pos="0">
                <a:schemeClr val="accent6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0.16115113670081715"/>
              <c:y val="-4.28012329912155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2199521915538412"/>
                  <c:h val="0.41653538168970755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traitement!$I$3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27-4414-9F9C-DB1319EDAFA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27-4414-9F9C-DB1319EDAFA9}"/>
              </c:ext>
            </c:extLst>
          </c:dPt>
          <c:dLbls>
            <c:dLbl>
              <c:idx val="0"/>
              <c:layout>
                <c:manualLayout>
                  <c:x val="0.20348416878351661"/>
                  <c:y val="-2.8752966349386511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dk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4741337636315749"/>
                      <c:h val="0.3474748228041228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C27-4414-9F9C-DB1319EDAFA9}"/>
                </c:ext>
              </c:extLst>
            </c:dLbl>
            <c:dLbl>
              <c:idx val="1"/>
              <c:layout>
                <c:manualLayout>
                  <c:x val="-0.16115113670081715"/>
                  <c:y val="-4.280123299121557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dk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2199521915538412"/>
                      <c:h val="0.416535381689707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C27-4414-9F9C-DB1319EDAFA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traitement!$H$4:$H$6</c:f>
              <c:strCache>
                <c:ptCount val="2"/>
                <c:pt idx="0">
                  <c:v>KO</c:v>
                </c:pt>
                <c:pt idx="1">
                  <c:v>OK</c:v>
                </c:pt>
              </c:strCache>
            </c:strRef>
          </c:cat>
          <c:val>
            <c:numRef>
              <c:f>traitement!$I$4:$I$6</c:f>
              <c:numCache>
                <c:formatCode>General</c:formatCode>
                <c:ptCount val="2"/>
                <c:pt idx="0">
                  <c:v>52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27-4414-9F9C-DB1319ED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[Credit_Rec_Dashboard.xlsm]traitement!Tableau croisé dynamique6</c:name>
    <c:fmtId val="23"/>
  </c:pivotSource>
  <c:chart>
    <c:autoTitleDeleted val="1"/>
    <c:pivotFmts>
      <c:pivotFmt>
        <c:idx val="0"/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6.3043716327043905E-2"/>
              <c:y val="-7.3849918358042999E-2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5271327158228147E-2"/>
                  <c:h val="0.17320732715242471"/>
                </c:manualLayout>
              </c15:layout>
            </c:ext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.16646732448118876"/>
              <c:y val="-0.1164634836268898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1030012971197478"/>
                  <c:h val="0.1923800557617043"/>
                </c:manualLayout>
              </c15:layout>
            </c:ext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2.2849408938450388E-3"/>
              <c:y val="-9.2162041885688772E-2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2965253901760712"/>
                  <c:h val="0.28787744867721415"/>
                </c:manualLayout>
              </c15:layout>
            </c:ext>
          </c:extLst>
        </c:dLbl>
      </c:pivotFmt>
      <c:pivotFmt>
        <c:idx val="10"/>
        <c:dLbl>
          <c:idx val="0"/>
          <c:layout>
            <c:manualLayout>
              <c:x val="9.8949987034012088E-2"/>
              <c:y val="6.1556003937396839E-2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9.813098170694283E-2"/>
                  <c:h val="0.20036859056364739"/>
                </c:manualLayout>
              </c15:layout>
            </c:ext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5.982822401392994E-2"/>
              <c:y val="5.1280998626596699E-3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3096466813677018"/>
                  <c:h val="0.28975286260584965"/>
                </c:manualLayout>
              </c15:layout>
            </c:ext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4.7215697133008223E-2"/>
              <c:y val="-3.8377207096513682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445643704227371"/>
                  <c:h val="0.2239952967850434"/>
                </c:manualLayout>
              </c15:layout>
            </c:ext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4.5849975510577373E-2"/>
              <c:y val="-2.9539967343217177E-2"/>
            </c:manualLayout>
          </c:layout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8.9092158450776254E-2"/>
                  <c:h val="0.24213391761993153"/>
                </c:manualLayout>
              </c15:layout>
            </c:ext>
          </c:extLst>
        </c:dLbl>
      </c:pivotFmt>
      <c:pivotFmt>
        <c:idx val="14"/>
        <c:dLbl>
          <c:idx val="0"/>
          <c:spPr>
            <a:solidFill>
              <a:srgbClr val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1201714620606495"/>
                  <c:h val="0.22244060605778668"/>
                </c:manualLayout>
              </c15:layout>
            </c:ext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080411134092236"/>
          <c:y val="0.12915902221535183"/>
          <c:w val="0.75154938957784101"/>
          <c:h val="0.7761243614933900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traitement!$AE$3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D65-4029-87D9-31867CA4F93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D65-4029-87D9-31867CA4F9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traitement!$AD$4:$AD$6</c:f>
              <c:strCache>
                <c:ptCount val="2"/>
                <c:pt idx="0">
                  <c:v>Echue</c:v>
                </c:pt>
                <c:pt idx="1">
                  <c:v>Valide</c:v>
                </c:pt>
              </c:strCache>
            </c:strRef>
          </c:cat>
          <c:val>
            <c:numRef>
              <c:f>traitement!$AE$4:$AE$6</c:f>
              <c:numCache>
                <c:formatCode>General</c:formatCode>
                <c:ptCount val="2"/>
                <c:pt idx="0">
                  <c:v>55</c:v>
                </c:pt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65-4029-87D9-31867CA4F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15743560"/>
        <c:axId val="615745000"/>
      </c:barChart>
      <c:catAx>
        <c:axId val="6157435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5745000"/>
        <c:crosses val="autoZero"/>
        <c:auto val="1"/>
        <c:lblAlgn val="ctr"/>
        <c:lblOffset val="100"/>
        <c:noMultiLvlLbl val="0"/>
      </c:catAx>
      <c:valAx>
        <c:axId val="6157450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574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[Credit_Rec_Dashboard.xlsm]traitement!Tableau croisé dynamique7</c:name>
    <c:fmtId val="37"/>
  </c:pivotSource>
  <c:chart>
    <c:autoTitleDeleted val="1"/>
    <c:pivotFmts>
      <c:pivotFmt>
        <c:idx val="0"/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-4.6978565179352581E-2"/>
              <c:y val="8.9577865266841639E-3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3.9337926509186355E-2"/>
              <c:y val="5.2316637503645375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3.9337926509186355E-2"/>
              <c:y val="5.2316637503645375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4.6978565179352581E-2"/>
              <c:y val="8.9577865266841639E-3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0.10226481688434337"/>
              <c:y val="-1.6363749570281388E-2"/>
            </c:manualLayout>
          </c:layout>
          <c:tx>
            <c:rich>
              <a:bodyPr/>
              <a:lstStyle/>
              <a:p>
                <a:fld id="{1C201031-BBC7-4377-B6B6-406F92F72563}" type="CATEGORYNAME">
                  <a:rPr lang="en-US" sz="1000" b="0"/>
                  <a:pPr/>
                  <a:t>[NOM DE CATÉGORIE]</a:t>
                </a:fld>
                <a:r>
                  <a:rPr lang="en-US" sz="1000" baseline="0"/>
                  <a:t>
</a:t>
                </a:r>
                <a:fld id="{565AF45B-3325-4E69-B5BE-3CEADDBF6398}" type="VALUE">
                  <a:rPr lang="en-US" sz="1000" baseline="0"/>
                  <a:pPr/>
                  <a:t>[VALEUR]</a:t>
                </a:fld>
                <a:endParaRPr lang="en-US" sz="1000" baseline="0"/>
              </a:p>
            </c:rich>
          </c:tx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4827536429690245"/>
                  <c:h val="0.26263074539530468"/>
                </c:manualLayout>
              </c15:layout>
              <c15:dlblFieldTable/>
              <c15:showDataLabelsRange val="0"/>
            </c:ext>
          </c:extLst>
        </c:dLbl>
      </c:pivotFmt>
      <c:pivotFmt>
        <c:idx val="8"/>
        <c:dLbl>
          <c:idx val="0"/>
          <c:layout>
            <c:manualLayout>
              <c:x val="-0.12519177346973753"/>
              <c:y val="3.3118965310533352E-7"/>
            </c:manualLayout>
          </c:layout>
          <c:tx>
            <c:rich>
              <a:bodyPr/>
              <a:lstStyle/>
              <a:p>
                <a:fld id="{2D36D0EC-1359-4E84-87BE-24B866A17362}" type="CATEGORYNAME">
                  <a:rPr lang="en-US" sz="1000" b="0"/>
                  <a:pPr/>
                  <a:t>[NOM DE CATÉGORIE]</a:t>
                </a:fld>
                <a:r>
                  <a:rPr lang="en-US" sz="1000" baseline="0"/>
                  <a:t>
</a:t>
                </a:r>
                <a:fld id="{40AB820F-38FE-4574-9506-E358F1612BD6}" type="VALUE">
                  <a:rPr lang="en-US" sz="1000" baseline="0"/>
                  <a:pPr/>
                  <a:t>[VALEUR]</a:t>
                </a:fld>
                <a:endParaRPr lang="en-US" sz="1000" baseline="0"/>
              </a:p>
            </c:rich>
          </c:tx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534166549507402"/>
                  <c:h val="0.27384880132528849"/>
                </c:manualLayout>
              </c15:layout>
              <c15:dlblFieldTable/>
              <c15:showDataLabelsRange val="0"/>
            </c:ext>
          </c:extLst>
        </c:dLbl>
      </c:pivotFmt>
      <c:pivotFmt>
        <c:idx val="9"/>
        <c:dLbl>
          <c:idx val="0"/>
          <c:layout>
            <c:manualLayout>
              <c:x val="7.7291785740669541E-2"/>
              <c:y val="-0.13621235231489043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548054625978024"/>
                  <c:h val="0.25566980126633676"/>
                </c:manualLayout>
              </c15:layout>
            </c:ext>
          </c:extLst>
        </c:dLbl>
      </c:pivotFmt>
      <c:pivotFmt>
        <c:idx val="10"/>
        <c:dLbl>
          <c:idx val="0"/>
          <c:layout>
            <c:manualLayout>
              <c:x val="-9.5667120654233939E-2"/>
              <c:y val="0.17247363564766446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113864373345094"/>
                  <c:h val="0.30614312321243481"/>
                </c:manualLayout>
              </c15:layout>
            </c:ext>
          </c:extLst>
        </c:dLbl>
      </c:pivotFmt>
      <c:pivotFmt>
        <c:idx val="11"/>
        <c:dLbl>
          <c:idx val="0"/>
          <c:layout>
            <c:manualLayout>
              <c:x val="7.9679000400057404E-2"/>
              <c:y val="-7.8696578549988239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8548952347304984"/>
                  <c:h val="0.3667188022948461"/>
                </c:manualLayout>
              </c15:layout>
            </c:ext>
          </c:extLst>
        </c:dLbl>
      </c:pivotFmt>
      <c:pivotFmt>
        <c:idx val="12"/>
        <c:dLbl>
          <c:idx val="0"/>
          <c:layout>
            <c:manualLayout>
              <c:x val="-6.5086220201593561E-2"/>
              <c:y val="7.2264724252158921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4552411295262444"/>
                  <c:h val="0.33325031512695491"/>
                </c:manualLayout>
              </c15:layout>
            </c:ext>
          </c:extLst>
        </c:dLbl>
      </c:pivotFmt>
      <c:pivotFmt>
        <c:idx val="13"/>
        <c:dLbl>
          <c:idx val="0"/>
          <c:layout>
            <c:manualLayout>
              <c:x val="0.10697862699015948"/>
              <c:y val="-2.9442760161064147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6779636117477618"/>
                  <c:h val="0.25754036042707568"/>
                </c:manualLayout>
              </c15:layout>
            </c:ext>
          </c:extLst>
        </c:dLbl>
      </c:pivotFmt>
      <c:pivotFmt>
        <c:idx val="14"/>
        <c:dLbl>
          <c:idx val="0"/>
          <c:layout>
            <c:manualLayout>
              <c:x val="1.9048548460497038E-2"/>
              <c:y val="8.1096398766807937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526860081471094"/>
                  <c:h val="0.39449650639406514"/>
                </c:manualLayout>
              </c15:layout>
            </c:ext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2.0083392372734168E-2"/>
              <c:y val="-6.2600564818102222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1.1445834317323347E-2"/>
              <c:y val="-9.4834530104700998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2.0083392372734168E-2"/>
              <c:y val="-6.2600564818102222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1.1445834317323347E-2"/>
              <c:y val="-9.4834530104700998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2.0083392372734168E-2"/>
              <c:y val="-6.2600564818102222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1.1445834317323347E-2"/>
              <c:y val="-9.4834530104700998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traitement!$AA$3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3E-40F9-AC06-C7E60C22518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13E-40F9-AC06-C7E60C225187}"/>
              </c:ext>
            </c:extLst>
          </c:dPt>
          <c:dLbls>
            <c:dLbl>
              <c:idx val="0"/>
              <c:layout>
                <c:manualLayout>
                  <c:x val="2.0083392372734168E-2"/>
                  <c:y val="-6.260056481810222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E-40F9-AC06-C7E60C225187}"/>
                </c:ext>
              </c:extLst>
            </c:dLbl>
            <c:dLbl>
              <c:idx val="1"/>
              <c:layout>
                <c:manualLayout>
                  <c:x val="-1.1445834317323347E-2"/>
                  <c:y val="-9.4834530104700998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3E-40F9-AC06-C7E60C22518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traitement!$Z$4:$Z$6</c:f>
              <c:strCache>
                <c:ptCount val="2"/>
                <c:pt idx="0">
                  <c:v>KO</c:v>
                </c:pt>
                <c:pt idx="1">
                  <c:v>OK</c:v>
                </c:pt>
              </c:strCache>
            </c:strRef>
          </c:cat>
          <c:val>
            <c:numRef>
              <c:f>traitement!$AA$4:$AA$6</c:f>
              <c:numCache>
                <c:formatCode>General</c:formatCode>
                <c:ptCount val="2"/>
                <c:pt idx="0">
                  <c:v>55</c:v>
                </c:pt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3E-40F9-AC06-C7E60C22518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[Credit_Rec_Dashboard.xlsm]traitement!Tableau croisé dynamique11</c:name>
    <c:fmtId val="3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1">
              <a:lumMod val="85000"/>
              <a:lumOff val="1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1">
              <a:lumMod val="85000"/>
              <a:lumOff val="1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1">
              <a:lumMod val="85000"/>
              <a:lumOff val="1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traitement!$N$3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C5-48ED-A75A-16AB258981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traitement!$M$4:$M$5</c:f>
              <c:strCache>
                <c:ptCount val="1"/>
                <c:pt idx="0">
                  <c:v>A renouveller</c:v>
                </c:pt>
              </c:strCache>
            </c:strRef>
          </c:cat>
          <c:val>
            <c:numRef>
              <c:f>traitement!$N$4:$N$5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C5-48ED-A75A-16AB258981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13002064"/>
        <c:axId val="1013009984"/>
      </c:barChart>
      <c:catAx>
        <c:axId val="101300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3009984"/>
        <c:crosses val="autoZero"/>
        <c:auto val="1"/>
        <c:lblAlgn val="ctr"/>
        <c:lblOffset val="100"/>
        <c:noMultiLvlLbl val="0"/>
      </c:catAx>
      <c:valAx>
        <c:axId val="10130099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30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png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17" Type="http://schemas.openxmlformats.org/officeDocument/2006/relationships/chart" Target="../charts/chart4.xml"/><Relationship Id="rId2" Type="http://schemas.openxmlformats.org/officeDocument/2006/relationships/hyperlink" Target="#TAF!A1"/><Relationship Id="rId16" Type="http://schemas.openxmlformats.org/officeDocument/2006/relationships/chart" Target="../charts/chart3.xml"/><Relationship Id="rId1" Type="http://schemas.openxmlformats.org/officeDocument/2006/relationships/hyperlink" Target="#'Statut Global'!A1"/><Relationship Id="rId6" Type="http://schemas.openxmlformats.org/officeDocument/2006/relationships/hyperlink" Target="#Clients!A1"/><Relationship Id="rId11" Type="http://schemas.openxmlformats.org/officeDocument/2006/relationships/chart" Target="../charts/chart1.xml"/><Relationship Id="rId5" Type="http://schemas.openxmlformats.org/officeDocument/2006/relationships/image" Target="../media/image3.png"/><Relationship Id="rId15" Type="http://schemas.openxmlformats.org/officeDocument/2006/relationships/image" Target="../media/image9.png"/><Relationship Id="rId10" Type="http://schemas.openxmlformats.org/officeDocument/2006/relationships/image" Target="../media/image6.png"/><Relationship Id="rId4" Type="http://schemas.openxmlformats.org/officeDocument/2006/relationships/image" Target="../media/image2.png"/><Relationship Id="rId9" Type="http://schemas.openxmlformats.org/officeDocument/2006/relationships/hyperlink" Target="#Data!A1"/><Relationship Id="rId1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10.xml"/><Relationship Id="rId3" Type="http://schemas.openxmlformats.org/officeDocument/2006/relationships/image" Target="../media/image1.pn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17" Type="http://schemas.openxmlformats.org/officeDocument/2006/relationships/image" Target="../media/image10.png"/><Relationship Id="rId2" Type="http://schemas.openxmlformats.org/officeDocument/2006/relationships/hyperlink" Target="#TAF!A1"/><Relationship Id="rId16" Type="http://schemas.openxmlformats.org/officeDocument/2006/relationships/chart" Target="../charts/chart13.xml"/><Relationship Id="rId1" Type="http://schemas.openxmlformats.org/officeDocument/2006/relationships/hyperlink" Target="#'Statut Global'!A1"/><Relationship Id="rId6" Type="http://schemas.openxmlformats.org/officeDocument/2006/relationships/image" Target="../media/image4.png"/><Relationship Id="rId11" Type="http://schemas.openxmlformats.org/officeDocument/2006/relationships/chart" Target="../charts/chart8.xml"/><Relationship Id="rId5" Type="http://schemas.openxmlformats.org/officeDocument/2006/relationships/hyperlink" Target="#Clients!A1"/><Relationship Id="rId15" Type="http://schemas.openxmlformats.org/officeDocument/2006/relationships/chart" Target="../charts/chart12.xml"/><Relationship Id="rId10" Type="http://schemas.openxmlformats.org/officeDocument/2006/relationships/chart" Target="../charts/chart7.xml"/><Relationship Id="rId4" Type="http://schemas.openxmlformats.org/officeDocument/2006/relationships/image" Target="../media/image2.png"/><Relationship Id="rId9" Type="http://schemas.openxmlformats.org/officeDocument/2006/relationships/chart" Target="../charts/chart6.xml"/><Relationship Id="rId1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Data!A1"/><Relationship Id="rId13" Type="http://schemas.openxmlformats.org/officeDocument/2006/relationships/chart" Target="../charts/chart16.xml"/><Relationship Id="rId3" Type="http://schemas.openxmlformats.org/officeDocument/2006/relationships/image" Target="../media/image1.png"/><Relationship Id="rId7" Type="http://schemas.openxmlformats.org/officeDocument/2006/relationships/chart" Target="../charts/chart14.xml"/><Relationship Id="rId12" Type="http://schemas.openxmlformats.org/officeDocument/2006/relationships/image" Target="../media/image8.png"/><Relationship Id="rId2" Type="http://schemas.openxmlformats.org/officeDocument/2006/relationships/hyperlink" Target="#TAF!A1"/><Relationship Id="rId16" Type="http://schemas.openxmlformats.org/officeDocument/2006/relationships/chart" Target="../charts/chart18.xml"/><Relationship Id="rId1" Type="http://schemas.openxmlformats.org/officeDocument/2006/relationships/hyperlink" Target="#'Statut Global'!A1"/><Relationship Id="rId6" Type="http://schemas.openxmlformats.org/officeDocument/2006/relationships/image" Target="../media/image4.png"/><Relationship Id="rId11" Type="http://schemas.openxmlformats.org/officeDocument/2006/relationships/image" Target="../media/image7.png"/><Relationship Id="rId5" Type="http://schemas.openxmlformats.org/officeDocument/2006/relationships/hyperlink" Target="#Clients!A1"/><Relationship Id="rId15" Type="http://schemas.openxmlformats.org/officeDocument/2006/relationships/chart" Target="../charts/chart17.xml"/><Relationship Id="rId10" Type="http://schemas.openxmlformats.org/officeDocument/2006/relationships/chart" Target="../charts/chart15.xml"/><Relationship Id="rId4" Type="http://schemas.openxmlformats.org/officeDocument/2006/relationships/image" Target="../media/image2.png"/><Relationship Id="rId9" Type="http://schemas.openxmlformats.org/officeDocument/2006/relationships/image" Target="../media/image6.pn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132291</xdr:colOff>
      <xdr:row>0</xdr:row>
      <xdr:rowOff>6614</xdr:rowOff>
    </xdr:from>
    <xdr:to>
      <xdr:col>27</xdr:col>
      <xdr:colOff>145521</xdr:colOff>
      <xdr:row>1</xdr:row>
      <xdr:rowOff>134937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818569" y="6614"/>
          <a:ext cx="13679841" cy="31176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19844</xdr:colOff>
      <xdr:row>0</xdr:row>
      <xdr:rowOff>6615</xdr:rowOff>
    </xdr:from>
    <xdr:to>
      <xdr:col>2</xdr:col>
      <xdr:colOff>132291</xdr:colOff>
      <xdr:row>1</xdr:row>
      <xdr:rowOff>87312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9844" y="6615"/>
          <a:ext cx="1797639" cy="26387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211169</xdr:colOff>
      <xdr:row>0</xdr:row>
      <xdr:rowOff>62442</xdr:rowOff>
    </xdr:from>
    <xdr:to>
      <xdr:col>1</xdr:col>
      <xdr:colOff>959907</xdr:colOff>
      <xdr:row>1</xdr:row>
      <xdr:rowOff>39096</xdr:rowOff>
    </xdr:to>
    <xdr:sp macro="" textlink="">
      <xdr:nvSpPr>
        <xdr:cNvPr id="3" name="Freeform 1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1169" y="62442"/>
          <a:ext cx="1359315" cy="159827"/>
        </a:xfrm>
        <a:custGeom>
          <a:avLst/>
          <a:gdLst/>
          <a:ahLst/>
          <a:cxnLst/>
          <a:rect l="l" t="t" r="r" b="b"/>
          <a:pathLst>
            <a:path w="4379581" h="541297">
              <a:moveTo>
                <a:pt x="0" y="0"/>
              </a:moveTo>
              <a:lnTo>
                <a:pt x="4379581" y="0"/>
              </a:lnTo>
              <a:lnTo>
                <a:pt x="4379581" y="541297"/>
              </a:lnTo>
              <a:lnTo>
                <a:pt x="0" y="541297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</xdr:spPr>
      <xdr:txBody>
        <a:bodyPr wrap="square"/>
        <a:lstStyle/>
        <a:p>
          <a:endParaRPr lang="fr-FR"/>
        </a:p>
      </xdr:txBody>
    </xdr:sp>
    <xdr:clientData/>
  </xdr:twoCellAnchor>
  <xdr:twoCellAnchor>
    <xdr:from>
      <xdr:col>2</xdr:col>
      <xdr:colOff>141111</xdr:colOff>
      <xdr:row>0</xdr:row>
      <xdr:rowOff>11869</xdr:rowOff>
    </xdr:from>
    <xdr:to>
      <xdr:col>37</xdr:col>
      <xdr:colOff>144824</xdr:colOff>
      <xdr:row>1</xdr:row>
      <xdr:rowOff>92264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29017" y="11869"/>
          <a:ext cx="19797260" cy="264925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2</xdr:col>
      <xdr:colOff>131763</xdr:colOff>
      <xdr:row>1</xdr:row>
      <xdr:rowOff>95250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1"/>
          <a:ext cx="1820863" cy="279399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1</xdr:row>
      <xdr:rowOff>86840</xdr:rowOff>
    </xdr:from>
    <xdr:to>
      <xdr:col>2</xdr:col>
      <xdr:colOff>128282</xdr:colOff>
      <xdr:row>144</xdr:row>
      <xdr:rowOff>30659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0" y="270013"/>
          <a:ext cx="1813474" cy="26601608"/>
        </a:xfrm>
        <a:prstGeom prst="rect">
          <a:avLst/>
        </a:prstGeom>
        <a:solidFill>
          <a:schemeClr val="bg1"/>
        </a:solidFill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223463</xdr:colOff>
      <xdr:row>0</xdr:row>
      <xdr:rowOff>15876</xdr:rowOff>
    </xdr:from>
    <xdr:to>
      <xdr:col>9</xdr:col>
      <xdr:colOff>354972</xdr:colOff>
      <xdr:row>1</xdr:row>
      <xdr:rowOff>105353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914151" y="15876"/>
          <a:ext cx="4640009" cy="272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5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TABLEAU</a:t>
          </a:r>
          <a:r>
            <a:rPr lang="fr-FR" sz="105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BORD SUIVI ET SYNTHESE</a:t>
          </a:r>
          <a:endParaRPr lang="fr-FR" sz="105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290414</xdr:colOff>
      <xdr:row>4</xdr:row>
      <xdr:rowOff>96079</xdr:rowOff>
    </xdr:from>
    <xdr:to>
      <xdr:col>2</xdr:col>
      <xdr:colOff>34675</xdr:colOff>
      <xdr:row>6</xdr:row>
      <xdr:rowOff>112154</xdr:rowOff>
    </xdr:to>
    <xdr:sp macro="" textlink="">
      <xdr:nvSpPr>
        <xdr:cNvPr id="14" name="ZoneTexte 13">
          <a:hlinkClick xmlns:r="http://schemas.openxmlformats.org/officeDocument/2006/relationships" r:id="rId1" tooltip="Go To Statut Global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90414" y="826329"/>
          <a:ext cx="1434949" cy="381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Statut Global</a:t>
          </a:r>
        </a:p>
      </xdr:txBody>
    </xdr:sp>
    <xdr:clientData/>
  </xdr:twoCellAnchor>
  <xdr:twoCellAnchor>
    <xdr:from>
      <xdr:col>0</xdr:col>
      <xdr:colOff>298727</xdr:colOff>
      <xdr:row>7</xdr:row>
      <xdr:rowOff>23103</xdr:rowOff>
    </xdr:from>
    <xdr:to>
      <xdr:col>2</xdr:col>
      <xdr:colOff>41089</xdr:colOff>
      <xdr:row>8</xdr:row>
      <xdr:rowOff>116435</xdr:rowOff>
    </xdr:to>
    <xdr:sp macro="" textlink="">
      <xdr:nvSpPr>
        <xdr:cNvPr id="16" name="ZoneTexte 15">
          <a:hlinkClick xmlns:r="http://schemas.openxmlformats.org/officeDocument/2006/relationships" r:id="rId2" tooltip="Go To TAF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98727" y="1301041"/>
          <a:ext cx="1433050" cy="4902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>
                  <a:lumMod val="90000"/>
                </a:schemeClr>
              </a:solidFill>
            </a:rPr>
            <a:t>TAF</a:t>
          </a:r>
          <a:r>
            <a:rPr lang="fr-FR" sz="1100" b="1" baseline="0">
              <a:solidFill>
                <a:schemeClr val="bg2">
                  <a:lumMod val="90000"/>
                </a:schemeClr>
              </a:solidFill>
            </a:rPr>
            <a:t> </a:t>
          </a:r>
          <a:endParaRPr lang="fr-FR" sz="1100" b="1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365606</xdr:colOff>
      <xdr:row>14</xdr:row>
      <xdr:rowOff>51313</xdr:rowOff>
    </xdr:from>
    <xdr:to>
      <xdr:col>4</xdr:col>
      <xdr:colOff>28992</xdr:colOff>
      <xdr:row>15</xdr:row>
      <xdr:rowOff>171963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3008232" y="2912020"/>
          <a:ext cx="304800" cy="306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102625</xdr:colOff>
      <xdr:row>4</xdr:row>
      <xdr:rowOff>149575</xdr:rowOff>
    </xdr:from>
    <xdr:to>
      <xdr:col>0</xdr:col>
      <xdr:colOff>301464</xdr:colOff>
      <xdr:row>5</xdr:row>
      <xdr:rowOff>162403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25" y="879825"/>
          <a:ext cx="198839" cy="195391"/>
        </a:xfrm>
        <a:prstGeom prst="rect">
          <a:avLst/>
        </a:prstGeom>
      </xdr:spPr>
    </xdr:pic>
    <xdr:clientData/>
  </xdr:twoCellAnchor>
  <xdr:twoCellAnchor editAs="oneCell">
    <xdr:from>
      <xdr:col>0</xdr:col>
      <xdr:colOff>83384</xdr:colOff>
      <xdr:row>7</xdr:row>
      <xdr:rowOff>32683</xdr:rowOff>
    </xdr:from>
    <xdr:to>
      <xdr:col>0</xdr:col>
      <xdr:colOff>333536</xdr:colOff>
      <xdr:row>7</xdr:row>
      <xdr:rowOff>252392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83384" y="1307352"/>
          <a:ext cx="250152" cy="219709"/>
        </a:xfrm>
        <a:prstGeom prst="rect">
          <a:avLst/>
        </a:prstGeom>
      </xdr:spPr>
    </xdr:pic>
    <xdr:clientData/>
  </xdr:twoCellAnchor>
  <xdr:twoCellAnchor>
    <xdr:from>
      <xdr:col>2</xdr:col>
      <xdr:colOff>90020</xdr:colOff>
      <xdr:row>4</xdr:row>
      <xdr:rowOff>133811</xdr:rowOff>
    </xdr:from>
    <xdr:to>
      <xdr:col>2</xdr:col>
      <xdr:colOff>136246</xdr:colOff>
      <xdr:row>5</xdr:row>
      <xdr:rowOff>158802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779120" y="870411"/>
          <a:ext cx="46226" cy="209141"/>
        </a:xfrm>
        <a:prstGeom prst="rect">
          <a:avLst/>
        </a:prstGeom>
        <a:solidFill>
          <a:srgbClr val="0071C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20</xdr:col>
      <xdr:colOff>144463</xdr:colOff>
      <xdr:row>0</xdr:row>
      <xdr:rowOff>23813</xdr:rowOff>
    </xdr:from>
    <xdr:to>
      <xdr:col>25</xdr:col>
      <xdr:colOff>503858</xdr:colOff>
      <xdr:row>1</xdr:row>
      <xdr:rowOff>85764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587163" y="23813"/>
          <a:ext cx="3153395" cy="252451"/>
          <a:chOff x="9207500" y="185544"/>
          <a:chExt cx="3124820" cy="246102"/>
        </a:xfrm>
      </xdr:grpSpPr>
      <xdr:sp macro="" textlink="">
        <xdr:nvSpPr>
          <xdr:cNvPr id="6" name="ZoneText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9366250" y="185544"/>
            <a:ext cx="2966070" cy="24610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050" b="1"/>
              <a:t>Dernière mise à</a:t>
            </a:r>
            <a:r>
              <a:rPr lang="fr-FR" sz="1050" b="1" baseline="0"/>
              <a:t> jour le : </a:t>
            </a:r>
            <a:r>
              <a:rPr lang="fr-FR" sz="1050" b="0" baseline="0"/>
              <a:t>03/07/2024</a:t>
            </a:r>
            <a:endParaRPr lang="fr-FR" sz="1050" b="0"/>
          </a:p>
        </xdr:txBody>
      </xdr:sp>
      <xdr:pic>
        <xdr:nvPicPr>
          <xdr:cNvPr id="8" name="Imag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9207500" y="222251"/>
            <a:ext cx="193471" cy="19824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306388</xdr:colOff>
      <xdr:row>8</xdr:row>
      <xdr:rowOff>87600</xdr:rowOff>
    </xdr:from>
    <xdr:to>
      <xdr:col>2</xdr:col>
      <xdr:colOff>50649</xdr:colOff>
      <xdr:row>10</xdr:row>
      <xdr:rowOff>106850</xdr:rowOff>
    </xdr:to>
    <xdr:sp macro="" textlink="">
      <xdr:nvSpPr>
        <xdr:cNvPr id="18" name="ZoneTexte 17">
          <a:hlinkClick xmlns:r="http://schemas.openxmlformats.org/officeDocument/2006/relationships" r:id="rId6" tooltip="Go To clients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306388" y="1762413"/>
          <a:ext cx="1434949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Clients</a:t>
          </a:r>
        </a:p>
      </xdr:txBody>
    </xdr:sp>
    <xdr:clientData/>
  </xdr:twoCellAnchor>
  <xdr:twoCellAnchor editAs="oneCell">
    <xdr:from>
      <xdr:col>0</xdr:col>
      <xdr:colOff>95250</xdr:colOff>
      <xdr:row>8</xdr:row>
      <xdr:rowOff>95608</xdr:rowOff>
    </xdr:from>
    <xdr:to>
      <xdr:col>0</xdr:col>
      <xdr:colOff>301626</xdr:colOff>
      <xdr:row>9</xdr:row>
      <xdr:rowOff>115794</xdr:rowOff>
    </xdr:to>
    <xdr:pic>
      <xdr:nvPicPr>
        <xdr:cNvPr id="2077" name="Image 2076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95250" y="1770421"/>
          <a:ext cx="206376" cy="202748"/>
        </a:xfrm>
        <a:prstGeom prst="rect">
          <a:avLst/>
        </a:prstGeom>
      </xdr:spPr>
    </xdr:pic>
    <xdr:clientData/>
  </xdr:twoCellAnchor>
  <xdr:twoCellAnchor>
    <xdr:from>
      <xdr:col>0</xdr:col>
      <xdr:colOff>41778</xdr:colOff>
      <xdr:row>2</xdr:row>
      <xdr:rowOff>108619</xdr:rowOff>
    </xdr:from>
    <xdr:to>
      <xdr:col>1</xdr:col>
      <xdr:colOff>835528</xdr:colOff>
      <xdr:row>4</xdr:row>
      <xdr:rowOff>33422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41778" y="476251"/>
          <a:ext cx="1412039" cy="2924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>
              <a:solidFill>
                <a:srgbClr val="0071C2"/>
              </a:solidFill>
              <a:latin typeface="Arial" panose="020B0604020202020204" pitchFamily="34" charset="0"/>
              <a:cs typeface="Arial" panose="020B0604020202020204" pitchFamily="34" charset="0"/>
            </a:rPr>
            <a:t>Tableau de Bord</a:t>
          </a:r>
        </a:p>
      </xdr:txBody>
    </xdr:sp>
    <xdr:clientData/>
  </xdr:twoCellAnchor>
  <xdr:twoCellAnchor>
    <xdr:from>
      <xdr:col>0</xdr:col>
      <xdr:colOff>174625</xdr:colOff>
      <xdr:row>10</xdr:row>
      <xdr:rowOff>127000</xdr:rowOff>
    </xdr:from>
    <xdr:to>
      <xdr:col>1</xdr:col>
      <xdr:colOff>976313</xdr:colOff>
      <xdr:row>10</xdr:row>
      <xdr:rowOff>127000</xdr:rowOff>
    </xdr:to>
    <xdr:cxnSp macro="">
      <xdr:nvCxnSpPr>
        <xdr:cNvPr id="2063" name="Connecteur droit 206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CxnSpPr/>
      </xdr:nvCxnSpPr>
      <xdr:spPr>
        <a:xfrm>
          <a:off x="174625" y="2212398"/>
          <a:ext cx="1415040" cy="0"/>
        </a:xfrm>
        <a:prstGeom prst="line">
          <a:avLst/>
        </a:prstGeom>
        <a:ln w="12700"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370708</xdr:colOff>
      <xdr:row>2</xdr:row>
      <xdr:rowOff>98410</xdr:rowOff>
    </xdr:from>
    <xdr:to>
      <xdr:col>22</xdr:col>
      <xdr:colOff>91848</xdr:colOff>
      <xdr:row>4</xdr:row>
      <xdr:rowOff>140154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9EF105EE-1486-7D2B-8181-9E3498A7FA36}"/>
            </a:ext>
          </a:extLst>
        </xdr:cNvPr>
        <xdr:cNvGrpSpPr/>
      </xdr:nvGrpSpPr>
      <xdr:grpSpPr>
        <a:xfrm>
          <a:off x="2072508" y="479410"/>
          <a:ext cx="10312940" cy="422744"/>
          <a:chOff x="2059231" y="473637"/>
          <a:chExt cx="10213072" cy="41697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0" name="Collaborateurs 2">
                <a:extLst>
                  <a:ext uri="{FF2B5EF4-FFF2-40B4-BE49-F238E27FC236}">
                    <a16:creationId xmlns:a16="http://schemas.microsoft.com/office/drawing/2014/main" id="{00000000-0008-0000-0000-000014000000}"/>
                  </a:ext>
                </a:extLst>
              </xdr:cNvPr>
              <xdr:cNvGraphicFramePr/>
            </xdr:nvGraphicFramePr>
            <xdr:xfrm>
              <a:off x="2426058" y="473637"/>
              <a:ext cx="9846245" cy="416972"/>
            </xdr:xfrm>
            <a:graphic>
              <a:graphicData uri="http://schemas.microsoft.com/office/drawing/2010/slicer">
                <sle:slicer xmlns:sle="http://schemas.microsoft.com/office/drawing/2010/slicer" name="Collaborateurs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6058" y="473637"/>
                <a:ext cx="9846245" cy="4169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xdr:pic>
        <xdr:nvPicPr>
          <xdr:cNvPr id="2246" name="Image 2245">
            <a:extLst>
              <a:ext uri="{FF2B5EF4-FFF2-40B4-BE49-F238E27FC236}">
                <a16:creationId xmlns:a16="http://schemas.microsoft.com/office/drawing/2014/main" id="{00000000-0008-0000-0000-0000C60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2059231" y="541192"/>
            <a:ext cx="281724" cy="274141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416398</xdr:colOff>
      <xdr:row>7</xdr:row>
      <xdr:rowOff>385772</xdr:rowOff>
    </xdr:from>
    <xdr:to>
      <xdr:col>24</xdr:col>
      <xdr:colOff>91842</xdr:colOff>
      <xdr:row>8</xdr:row>
      <xdr:rowOff>3084</xdr:rowOff>
    </xdr:to>
    <xdr:cxnSp macro="">
      <xdr:nvCxnSpPr>
        <xdr:cNvPr id="2268" name="Connecteur droit 2267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CxnSpPr/>
      </xdr:nvCxnSpPr>
      <xdr:spPr>
        <a:xfrm>
          <a:off x="2107086" y="1663710"/>
          <a:ext cx="11494381" cy="14187"/>
        </a:xfrm>
        <a:prstGeom prst="line">
          <a:avLst/>
        </a:prstGeom>
        <a:ln w="19050">
          <a:noFil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375301</xdr:colOff>
      <xdr:row>5</xdr:row>
      <xdr:rowOff>71437</xdr:rowOff>
    </xdr:from>
    <xdr:to>
      <xdr:col>22</xdr:col>
      <xdr:colOff>31750</xdr:colOff>
      <xdr:row>32</xdr:row>
      <xdr:rowOff>31750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8A89FD4-07A5-7E68-46AB-2EF9E6C62C2F}"/>
            </a:ext>
          </a:extLst>
        </xdr:cNvPr>
        <xdr:cNvGrpSpPr/>
      </xdr:nvGrpSpPr>
      <xdr:grpSpPr>
        <a:xfrm>
          <a:off x="2077101" y="1023937"/>
          <a:ext cx="10248249" cy="5561013"/>
          <a:chOff x="1939697" y="1097576"/>
          <a:chExt cx="10415978" cy="5689430"/>
        </a:xfrm>
      </xdr:grpSpPr>
      <xdr:grpSp>
        <xdr:nvGrpSpPr>
          <xdr:cNvPr id="17" name="Groupe 16">
            <a:extLst>
              <a:ext uri="{FF2B5EF4-FFF2-40B4-BE49-F238E27FC236}">
                <a16:creationId xmlns:a16="http://schemas.microsoft.com/office/drawing/2014/main" id="{200FF23C-484B-54A9-A667-BE3CFD3A2298}"/>
              </a:ext>
            </a:extLst>
          </xdr:cNvPr>
          <xdr:cNvGrpSpPr/>
        </xdr:nvGrpSpPr>
        <xdr:grpSpPr>
          <a:xfrm>
            <a:off x="2334606" y="1097576"/>
            <a:ext cx="10021069" cy="5354226"/>
            <a:chOff x="2203070" y="953567"/>
            <a:chExt cx="9989710" cy="5389284"/>
          </a:xfrm>
        </xdr:grpSpPr>
        <xdr:grpSp>
          <xdr:nvGrpSpPr>
            <xdr:cNvPr id="2269" name="Groupe 2268">
              <a:extLs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GrpSpPr/>
          </xdr:nvGrpSpPr>
          <xdr:grpSpPr>
            <a:xfrm>
              <a:off x="2203070" y="955986"/>
              <a:ext cx="1322756" cy="558646"/>
              <a:chOff x="2645338" y="13234557"/>
              <a:chExt cx="1834933" cy="916929"/>
            </a:xfrm>
            <a:solidFill>
              <a:schemeClr val="accent4">
                <a:lumMod val="75000"/>
              </a:schemeClr>
            </a:solidFill>
          </xdr:grpSpPr>
          <xdr:sp macro="" textlink="traitement!$AV$4">
            <xdr:nvSpPr>
              <xdr:cNvPr id="2323" name="Rectangle : coins arrondis 2322">
                <a:extLst>
                  <a:ext uri="{FF2B5EF4-FFF2-40B4-BE49-F238E27FC236}">
                    <a16:creationId xmlns:a16="http://schemas.microsoft.com/office/drawing/2014/main" id="{00000000-0008-0000-0000-000013090000}"/>
                  </a:ext>
                </a:extLst>
              </xdr:cNvPr>
              <xdr:cNvSpPr/>
            </xdr:nvSpPr>
            <xdr:spPr>
              <a:xfrm>
                <a:off x="2645338" y="13234557"/>
                <a:ext cx="1834933" cy="916929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b"/>
              <a:lstStyle/>
              <a:p>
                <a:pPr marL="0" indent="0" algn="ctr"/>
                <a:fld id="{AA03989F-7492-4331-A8DD-7472FE50619D}" type="TxLink">
                  <a:rPr lang="en-US" sz="1400" b="1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ctr"/>
                  <a:t>143,8 M DH</a:t>
                </a:fld>
                <a:endParaRPr lang="fr-FR" sz="1800" b="1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324" name="TextBox 31">
                <a:extLst>
                  <a:ext uri="{FF2B5EF4-FFF2-40B4-BE49-F238E27FC236}">
                    <a16:creationId xmlns:a16="http://schemas.microsoft.com/office/drawing/2014/main" id="{00000000-0008-0000-0000-000014090000}"/>
                  </a:ext>
                </a:extLst>
              </xdr:cNvPr>
              <xdr:cNvSpPr txBox="1"/>
            </xdr:nvSpPr>
            <xdr:spPr>
              <a:xfrm>
                <a:off x="2675814" y="13400193"/>
                <a:ext cx="1742068" cy="226525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CA" sz="105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Garantie Valide</a:t>
                </a:r>
              </a:p>
            </xdr:txBody>
          </xdr:sp>
        </xdr:grpSp>
        <xdr:grpSp>
          <xdr:nvGrpSpPr>
            <xdr:cNvPr id="2270" name="Groupe 2269">
              <a:extLs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GrpSpPr/>
          </xdr:nvGrpSpPr>
          <xdr:grpSpPr>
            <a:xfrm>
              <a:off x="3619078" y="955983"/>
              <a:ext cx="1319796" cy="558646"/>
              <a:chOff x="2645338" y="13234552"/>
              <a:chExt cx="1834932" cy="916929"/>
            </a:xfrm>
            <a:solidFill>
              <a:schemeClr val="accent4">
                <a:lumMod val="75000"/>
              </a:schemeClr>
            </a:solidFill>
          </xdr:grpSpPr>
          <xdr:sp macro="" textlink="traitement!AV3">
            <xdr:nvSpPr>
              <xdr:cNvPr id="2320" name="Rectangle : coins arrondis 2319">
                <a:extLst>
                  <a:ext uri="{FF2B5EF4-FFF2-40B4-BE49-F238E27FC236}">
                    <a16:creationId xmlns:a16="http://schemas.microsoft.com/office/drawing/2014/main" id="{00000000-0008-0000-0000-000010090000}"/>
                  </a:ext>
                </a:extLst>
              </xdr:cNvPr>
              <xdr:cNvSpPr/>
            </xdr:nvSpPr>
            <xdr:spPr>
              <a:xfrm>
                <a:off x="2645338" y="13234552"/>
                <a:ext cx="1834932" cy="916929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b"/>
              <a:lstStyle/>
              <a:p>
                <a:pPr marL="0" indent="0" algn="ctr"/>
                <a:fld id="{B225A651-C0C3-4893-B343-4A2527DFA5A9}" type="TxLink">
                  <a:rPr lang="en-US" sz="1400" b="1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ctr"/>
                  <a:t>171,8 M DH</a:t>
                </a:fld>
                <a:endParaRPr lang="en-US" sz="1800" b="1">
                  <a:ea typeface="+mn-ea"/>
                </a:endParaRPr>
              </a:p>
            </xdr:txBody>
          </xdr:sp>
          <xdr:sp macro="" textlink="">
            <xdr:nvSpPr>
              <xdr:cNvPr id="2321" name="TextBox 31">
                <a:extLst>
                  <a:ext uri="{FF2B5EF4-FFF2-40B4-BE49-F238E27FC236}">
                    <a16:creationId xmlns:a16="http://schemas.microsoft.com/office/drawing/2014/main" id="{00000000-0008-0000-0000-000011090000}"/>
                  </a:ext>
                </a:extLst>
              </xdr:cNvPr>
              <xdr:cNvSpPr txBox="1"/>
            </xdr:nvSpPr>
            <xdr:spPr>
              <a:xfrm>
                <a:off x="2825349" y="13394984"/>
                <a:ext cx="1535261" cy="21508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CA" sz="110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Garantie Echue</a:t>
                </a:r>
              </a:p>
            </xdr:txBody>
          </xdr:sp>
        </xdr:grpSp>
        <xdr:grpSp>
          <xdr:nvGrpSpPr>
            <xdr:cNvPr id="2271" name="Groupe 2270">
              <a:extLs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GrpSpPr/>
          </xdr:nvGrpSpPr>
          <xdr:grpSpPr>
            <a:xfrm>
              <a:off x="4986475" y="955983"/>
              <a:ext cx="1408085" cy="558646"/>
              <a:chOff x="2582086" y="13234552"/>
              <a:chExt cx="1950995" cy="916929"/>
            </a:xfrm>
            <a:solidFill>
              <a:srgbClr val="92D050"/>
            </a:solidFill>
          </xdr:grpSpPr>
          <xdr:sp macro="" textlink="traitement!T5">
            <xdr:nvSpPr>
              <xdr:cNvPr id="2317" name="Rectangle : coins arrondis 2316">
                <a:extLst>
                  <a:ext uri="{FF2B5EF4-FFF2-40B4-BE49-F238E27FC236}">
                    <a16:creationId xmlns:a16="http://schemas.microsoft.com/office/drawing/2014/main" id="{00000000-0008-0000-0000-00000D090000}"/>
                  </a:ext>
                </a:extLst>
              </xdr:cNvPr>
              <xdr:cNvSpPr/>
            </xdr:nvSpPr>
            <xdr:spPr>
              <a:xfrm>
                <a:off x="2645338" y="13234552"/>
                <a:ext cx="1834932" cy="916929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b"/>
              <a:lstStyle/>
              <a:p>
                <a:pPr marL="0" indent="0" algn="ctr"/>
                <a:fld id="{699E23AD-7FF1-4205-9324-429A4BA58C84}" type="TxLink">
                  <a:rPr lang="en-US" sz="1400" b="1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ctr"/>
                  <a:t>142,3 M DH</a:t>
                </a:fld>
                <a:endParaRPr lang="en-US" sz="1800" b="1">
                  <a:ea typeface="+mn-ea"/>
                </a:endParaRPr>
              </a:p>
            </xdr:txBody>
          </xdr:sp>
          <xdr:sp macro="" textlink="">
            <xdr:nvSpPr>
              <xdr:cNvPr id="2318" name="TextBox 31">
                <a:extLst>
                  <a:ext uri="{FF2B5EF4-FFF2-40B4-BE49-F238E27FC236}">
                    <a16:creationId xmlns:a16="http://schemas.microsoft.com/office/drawing/2014/main" id="{00000000-0008-0000-0000-00000E090000}"/>
                  </a:ext>
                </a:extLst>
              </xdr:cNvPr>
              <xdr:cNvSpPr txBox="1"/>
            </xdr:nvSpPr>
            <xdr:spPr>
              <a:xfrm>
                <a:off x="2582086" y="13243232"/>
                <a:ext cx="1950995" cy="48522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CA" sz="110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Acte</a:t>
                </a:r>
                <a:r>
                  <a:rPr lang="en-CA" sz="1100" b="1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 p</a:t>
                </a:r>
                <a:r>
                  <a:rPr lang="en-CA" sz="110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hysique OK</a:t>
                </a:r>
              </a:p>
            </xdr:txBody>
          </xdr:sp>
        </xdr:grpSp>
        <xdr:grpSp>
          <xdr:nvGrpSpPr>
            <xdr:cNvPr id="2272" name="Groupe 2271">
              <a:extLs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GrpSpPr/>
          </xdr:nvGrpSpPr>
          <xdr:grpSpPr>
            <a:xfrm>
              <a:off x="6530955" y="953567"/>
              <a:ext cx="1330016" cy="558652"/>
              <a:chOff x="2645338" y="13234552"/>
              <a:chExt cx="1853315" cy="916929"/>
            </a:xfrm>
            <a:solidFill>
              <a:srgbClr val="92D050"/>
            </a:solidFill>
          </xdr:grpSpPr>
          <xdr:sp macro="" textlink="traitement!T3">
            <xdr:nvSpPr>
              <xdr:cNvPr id="2314" name="Rectangle : coins arrondis 2313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0000-00000A090000}"/>
                  </a:ext>
                </a:extLst>
              </xdr:cNvPr>
              <xdr:cNvSpPr/>
            </xdr:nvSpPr>
            <xdr:spPr>
              <a:xfrm>
                <a:off x="2645338" y="13234552"/>
                <a:ext cx="1834932" cy="916929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b"/>
              <a:lstStyle/>
              <a:p>
                <a:pPr marL="0" indent="0" algn="ctr"/>
                <a:fld id="{BC87C3C6-A8FA-4775-AADA-473C7E842CA6}" type="TxLink">
                  <a:rPr lang="en-US" sz="1400" b="1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ctr"/>
                  <a:t>171,4 M DH</a:t>
                </a:fld>
                <a:endParaRPr lang="en-US" sz="1800" b="1">
                  <a:ea typeface="+mn-ea"/>
                </a:endParaRPr>
              </a:p>
            </xdr:txBody>
          </xdr:sp>
          <xdr:sp macro="" textlink="">
            <xdr:nvSpPr>
              <xdr:cNvPr id="2315" name="TextBox 31">
                <a:extLst>
                  <a:ext uri="{FF2B5EF4-FFF2-40B4-BE49-F238E27FC236}">
                    <a16:creationId xmlns:a16="http://schemas.microsoft.com/office/drawing/2014/main" id="{00000000-0008-0000-0000-00000B090000}"/>
                  </a:ext>
                </a:extLst>
              </xdr:cNvPr>
              <xdr:cNvSpPr txBox="1"/>
            </xdr:nvSpPr>
            <xdr:spPr>
              <a:xfrm>
                <a:off x="2775699" y="13371987"/>
                <a:ext cx="1722954" cy="29951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en-CA" sz="105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Acte physique</a:t>
                </a:r>
                <a:r>
                  <a:rPr lang="en-CA" sz="1050" b="1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 KO</a:t>
                </a:r>
                <a:endParaRPr lang="en-CA" sz="105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endParaRPr>
              </a:p>
            </xdr:txBody>
          </xdr:sp>
        </xdr:grpSp>
        <xdr:grpSp>
          <xdr:nvGrpSpPr>
            <xdr:cNvPr id="2273" name="Groupe 2272">
              <a:extLst>
                <a:ext uri="{FF2B5EF4-FFF2-40B4-BE49-F238E27FC236}">
                  <a16:creationId xmlns:a16="http://schemas.microsoft.com/office/drawing/2014/main" id="{00000000-0008-0000-0000-0000E1080000}"/>
                </a:ext>
              </a:extLst>
            </xdr:cNvPr>
            <xdr:cNvGrpSpPr/>
          </xdr:nvGrpSpPr>
          <xdr:grpSpPr>
            <a:xfrm>
              <a:off x="7947170" y="955980"/>
              <a:ext cx="1320717" cy="558645"/>
              <a:chOff x="2645337" y="13234556"/>
              <a:chExt cx="1834931" cy="916928"/>
            </a:xfrm>
            <a:solidFill>
              <a:srgbClr val="00B0F0"/>
            </a:solidFill>
          </xdr:grpSpPr>
          <xdr:sp macro="" textlink="traitement!D5">
            <xdr:nvSpPr>
              <xdr:cNvPr id="2311" name="Rectangle : coins arrondis 2310">
                <a:extLst>
                  <a:ext uri="{FF2B5EF4-FFF2-40B4-BE49-F238E27FC236}">
                    <a16:creationId xmlns:a16="http://schemas.microsoft.com/office/drawing/2014/main" id="{00000000-0008-0000-0000-000007090000}"/>
                  </a:ext>
                </a:extLst>
              </xdr:cNvPr>
              <xdr:cNvSpPr/>
            </xdr:nvSpPr>
            <xdr:spPr>
              <a:xfrm>
                <a:off x="2645337" y="13234556"/>
                <a:ext cx="1834931" cy="916928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b"/>
              <a:lstStyle/>
              <a:p>
                <a:pPr marL="0" indent="0" algn="ctr"/>
                <a:fld id="{22AAD038-7383-4245-B103-E925C6183EC2}" type="TxLink">
                  <a:rPr lang="en-US" sz="1400" b="1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ctr"/>
                  <a:t>259,1 M DH</a:t>
                </a:fld>
                <a:endParaRPr lang="fr-FR" sz="1400" b="1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312" name="TextBox 31">
                <a:extLst>
                  <a:ext uri="{FF2B5EF4-FFF2-40B4-BE49-F238E27FC236}">
                    <a16:creationId xmlns:a16="http://schemas.microsoft.com/office/drawing/2014/main" id="{00000000-0008-0000-0000-000008090000}"/>
                  </a:ext>
                </a:extLst>
              </xdr:cNvPr>
              <xdr:cNvSpPr txBox="1"/>
            </xdr:nvSpPr>
            <xdr:spPr>
              <a:xfrm>
                <a:off x="2653986" y="13347648"/>
                <a:ext cx="1780788" cy="306063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CA" sz="110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Comission</a:t>
                </a:r>
                <a:r>
                  <a:rPr lang="en-CA" sz="1100" b="1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 payée</a:t>
                </a:r>
                <a:endParaRPr lang="en-CA" sz="110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endParaRPr>
              </a:p>
            </xdr:txBody>
          </xdr:sp>
        </xdr:grpSp>
        <xdr:grpSp>
          <xdr:nvGrpSpPr>
            <xdr:cNvPr id="2278" name="Groupe 2277">
              <a:extLs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GrpSpPr/>
          </xdr:nvGrpSpPr>
          <xdr:grpSpPr>
            <a:xfrm>
              <a:off x="9361139" y="955983"/>
              <a:ext cx="1326272" cy="558646"/>
              <a:chOff x="2645337" y="13234552"/>
              <a:chExt cx="1836841" cy="916929"/>
            </a:xfrm>
            <a:solidFill>
              <a:srgbClr val="00B0F0"/>
            </a:solidFill>
          </xdr:grpSpPr>
          <xdr:sp macro="" textlink="traitement!D3">
            <xdr:nvSpPr>
              <xdr:cNvPr id="2287" name="Rectangle : coins arrondis 2286">
                <a:extLst>
                  <a:ext uri="{FF2B5EF4-FFF2-40B4-BE49-F238E27FC236}">
                    <a16:creationId xmlns:a16="http://schemas.microsoft.com/office/drawing/2014/main" id="{00000000-0008-0000-0000-0000EF080000}"/>
                  </a:ext>
                </a:extLst>
              </xdr:cNvPr>
              <xdr:cNvSpPr/>
            </xdr:nvSpPr>
            <xdr:spPr>
              <a:xfrm>
                <a:off x="2645337" y="13234552"/>
                <a:ext cx="1834931" cy="916929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b"/>
              <a:lstStyle/>
              <a:p>
                <a:pPr marL="0" indent="0" algn="ctr"/>
                <a:fld id="{7BA4DECC-4CF7-4862-927C-4E15FF3C65CA}" type="TxLink">
                  <a:rPr lang="en-US" sz="1400" b="1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ctr"/>
                  <a:t>266,7 M DH</a:t>
                </a:fld>
                <a:endParaRPr lang="fr-FR" sz="1400" b="1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288" name="TextBox 31">
                <a:extLst>
                  <a:ext uri="{FF2B5EF4-FFF2-40B4-BE49-F238E27FC236}">
                    <a16:creationId xmlns:a16="http://schemas.microsoft.com/office/drawing/2014/main" id="{00000000-0008-0000-0000-0000F0080000}"/>
                  </a:ext>
                </a:extLst>
              </xdr:cNvPr>
              <xdr:cNvSpPr txBox="1"/>
            </xdr:nvSpPr>
            <xdr:spPr>
              <a:xfrm>
                <a:off x="2653986" y="13347646"/>
                <a:ext cx="1828192" cy="321376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CA" sz="110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Comission</a:t>
                </a:r>
                <a:r>
                  <a:rPr lang="en-CA" sz="1100" b="1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 impayée</a:t>
                </a:r>
                <a:endParaRPr lang="en-CA" sz="110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endParaRPr>
              </a:p>
            </xdr:txBody>
          </xdr:sp>
        </xdr:grpSp>
        <xdr:grpSp>
          <xdr:nvGrpSpPr>
            <xdr:cNvPr id="2279" name="Groupe 2278">
              <a:extLs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GrpSpPr/>
          </xdr:nvGrpSpPr>
          <xdr:grpSpPr>
            <a:xfrm>
              <a:off x="10780665" y="955983"/>
              <a:ext cx="1332509" cy="558646"/>
              <a:chOff x="2645337" y="13234552"/>
              <a:chExt cx="1834931" cy="916929"/>
            </a:xfrm>
            <a:solidFill>
              <a:schemeClr val="accent3">
                <a:lumMod val="75000"/>
              </a:schemeClr>
            </a:solidFill>
          </xdr:grpSpPr>
          <xdr:sp macro="" textlink="traitement!AL2">
            <xdr:nvSpPr>
              <xdr:cNvPr id="2284" name="Rectangle : coins arrondis 2283">
                <a:extLst>
                  <a:ext uri="{FF2B5EF4-FFF2-40B4-BE49-F238E27FC236}">
                    <a16:creationId xmlns:a16="http://schemas.microsoft.com/office/drawing/2014/main" id="{00000000-0008-0000-0000-0000EC080000}"/>
                  </a:ext>
                </a:extLst>
              </xdr:cNvPr>
              <xdr:cNvSpPr/>
            </xdr:nvSpPr>
            <xdr:spPr>
              <a:xfrm>
                <a:off x="2645337" y="13234552"/>
                <a:ext cx="1834931" cy="916929"/>
              </a:xfrm>
              <a:prstGeom prst="roundRect">
                <a:avLst/>
              </a:prstGeom>
              <a:grpFill/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b"/>
              <a:lstStyle/>
              <a:p>
                <a:pPr marL="0" indent="0" algn="ctr"/>
                <a:fld id="{2A2F2827-96AF-4B96-A27C-DA8A68A2C7BB}" type="TxLink">
                  <a:rPr lang="en-US" sz="1400" b="1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ctr"/>
                  <a:t>146,6 M DH</a:t>
                </a:fld>
                <a:endParaRPr lang="en-US" sz="2400" b="1">
                  <a:ea typeface="+mn-ea"/>
                </a:endParaRPr>
              </a:p>
            </xdr:txBody>
          </xdr:sp>
          <xdr:sp macro="" textlink="">
            <xdr:nvSpPr>
              <xdr:cNvPr id="2285" name="TextBox 31">
                <a:extLst>
                  <a:ext uri="{FF2B5EF4-FFF2-40B4-BE49-F238E27FC236}">
                    <a16:creationId xmlns:a16="http://schemas.microsoft.com/office/drawing/2014/main" id="{00000000-0008-0000-0000-0000ED080000}"/>
                  </a:ext>
                </a:extLst>
              </xdr:cNvPr>
              <xdr:cNvSpPr txBox="1"/>
            </xdr:nvSpPr>
            <xdr:spPr>
              <a:xfrm>
                <a:off x="2653988" y="13347646"/>
                <a:ext cx="1810664" cy="273917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CA" sz="110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Garantie a REN</a:t>
                </a:r>
              </a:p>
            </xdr:txBody>
          </xdr:sp>
        </xdr:grpSp>
        <xdr:grpSp>
          <xdr:nvGrpSpPr>
            <xdr:cNvPr id="13" name="Groupe 12">
              <a:extLst>
                <a:ext uri="{FF2B5EF4-FFF2-40B4-BE49-F238E27FC236}">
                  <a16:creationId xmlns:a16="http://schemas.microsoft.com/office/drawing/2014/main" id="{94A1D210-E3CD-506D-69ED-B51226E29C68}"/>
                </a:ext>
              </a:extLst>
            </xdr:cNvPr>
            <xdr:cNvGrpSpPr/>
          </xdr:nvGrpSpPr>
          <xdr:grpSpPr>
            <a:xfrm>
              <a:off x="7561488" y="1773552"/>
              <a:ext cx="4602851" cy="2093343"/>
              <a:chOff x="8204426" y="1781490"/>
              <a:chExt cx="4602851" cy="2093343"/>
            </a:xfrm>
          </xdr:grpSpPr>
          <xdr:grpSp>
            <xdr:nvGrpSpPr>
              <xdr:cNvPr id="2274" name="Groupe 2273">
                <a:extLst>
                  <a:ext uri="{FF2B5EF4-FFF2-40B4-BE49-F238E27FC236}">
                    <a16:creationId xmlns:a16="http://schemas.microsoft.com/office/drawing/2014/main" id="{00000000-0008-0000-0000-0000E2080000}"/>
                  </a:ext>
                </a:extLst>
              </xdr:cNvPr>
              <xdr:cNvGrpSpPr/>
            </xdr:nvGrpSpPr>
            <xdr:grpSpPr>
              <a:xfrm>
                <a:off x="8204426" y="1781490"/>
                <a:ext cx="4602851" cy="2093343"/>
                <a:chOff x="2143461" y="3467101"/>
                <a:chExt cx="4928851" cy="2885167"/>
              </a:xfrm>
            </xdr:grpSpPr>
            <xdr:sp macro="" textlink="">
              <xdr:nvSpPr>
                <xdr:cNvPr id="2307" name="Rectangle : coins arrondis 2306">
                  <a:extLst>
                    <a:ext uri="{FF2B5EF4-FFF2-40B4-BE49-F238E27FC236}">
                      <a16:creationId xmlns:a16="http://schemas.microsoft.com/office/drawing/2014/main" id="{00000000-0008-0000-0000-000003090000}"/>
                    </a:ext>
                  </a:extLst>
                </xdr:cNvPr>
                <xdr:cNvSpPr/>
              </xdr:nvSpPr>
              <xdr:spPr>
                <a:xfrm>
                  <a:off x="2143461" y="3467101"/>
                  <a:ext cx="4928851" cy="2885167"/>
                </a:xfrm>
                <a:prstGeom prst="roundRect">
                  <a:avLst/>
                </a:prstGeom>
                <a:solidFill>
                  <a:srgbClr val="E2F1CB"/>
                </a:solidFill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fr-FR"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308" name="TextBox 31">
                  <a:extLst>
                    <a:ext uri="{FF2B5EF4-FFF2-40B4-BE49-F238E27FC236}">
                      <a16:creationId xmlns:a16="http://schemas.microsoft.com/office/drawing/2014/main" id="{00000000-0008-0000-0000-000004090000}"/>
                    </a:ext>
                  </a:extLst>
                </xdr:cNvPr>
                <xdr:cNvSpPr txBox="1"/>
              </xdr:nvSpPr>
              <xdr:spPr>
                <a:xfrm>
                  <a:off x="2387598" y="3664251"/>
                  <a:ext cx="2483001" cy="45075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CA" sz="1400" b="1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rPr>
                    <a:t>Statut Acte Physique </a:t>
                  </a:r>
                </a:p>
              </xdr:txBody>
            </xdr:sp>
            <xdr:pic>
              <xdr:nvPicPr>
                <xdr:cNvPr id="2309" name="Image 2308">
                  <a:extLst>
                    <a:ext uri="{FF2B5EF4-FFF2-40B4-BE49-F238E27FC236}">
                      <a16:creationId xmlns:a16="http://schemas.microsoft.com/office/drawing/2014/main" id="{00000000-0008-0000-0000-00000509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>
                  <a:lum bright="70000" contrast="-70000"/>
                </a:blip>
                <a:stretch>
                  <a:fillRect/>
                </a:stretch>
              </xdr:blipFill>
              <xdr:spPr>
                <a:xfrm>
                  <a:off x="6475468" y="3692817"/>
                  <a:ext cx="339824" cy="345644"/>
                </a:xfrm>
                <a:prstGeom prst="rect">
                  <a:avLst/>
                </a:prstGeom>
                <a:ln>
                  <a:noFill/>
                </a:ln>
              </xdr:spPr>
            </xdr:pic>
          </xdr:grpSp>
          <xdr:graphicFrame macro="">
            <xdr:nvGraphicFramePr>
              <xdr:cNvPr id="2247" name="Graphique 2246">
                <a:extLst>
                  <a:ext uri="{FF2B5EF4-FFF2-40B4-BE49-F238E27FC236}">
                    <a16:creationId xmlns:a16="http://schemas.microsoft.com/office/drawing/2014/main" id="{00000000-0008-0000-0000-0000C7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027751" y="2273886"/>
              <a:ext cx="3063345" cy="146632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"/>
              </a:graphicData>
            </a:graphic>
          </xdr:graphicFrame>
        </xdr:grpSp>
        <xdr:grpSp>
          <xdr:nvGrpSpPr>
            <xdr:cNvPr id="2277" name="Groupe 2276">
              <a:extLs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GrpSpPr/>
          </xdr:nvGrpSpPr>
          <xdr:grpSpPr>
            <a:xfrm>
              <a:off x="7580556" y="4166709"/>
              <a:ext cx="4612224" cy="2084951"/>
              <a:chOff x="2765261" y="4244354"/>
              <a:chExt cx="4904152" cy="2460723"/>
            </a:xfrm>
          </xdr:grpSpPr>
          <xdr:grpSp>
            <xdr:nvGrpSpPr>
              <xdr:cNvPr id="2292" name="Groupe 2291">
                <a:extLst>
                  <a:ext uri="{FF2B5EF4-FFF2-40B4-BE49-F238E27FC236}">
                    <a16:creationId xmlns:a16="http://schemas.microsoft.com/office/drawing/2014/main" id="{00000000-0008-0000-0000-0000F4080000}"/>
                  </a:ext>
                </a:extLst>
              </xdr:cNvPr>
              <xdr:cNvGrpSpPr/>
            </xdr:nvGrpSpPr>
            <xdr:grpSpPr>
              <a:xfrm>
                <a:off x="2765261" y="4244354"/>
                <a:ext cx="4904152" cy="2460723"/>
                <a:chOff x="2143463" y="3467098"/>
                <a:chExt cx="4799170" cy="3074040"/>
              </a:xfrm>
            </xdr:grpSpPr>
            <xdr:sp macro="" textlink="">
              <xdr:nvSpPr>
                <xdr:cNvPr id="2294" name="Rectangle : coins arrondis 2293">
                  <a:extLst>
                    <a:ext uri="{FF2B5EF4-FFF2-40B4-BE49-F238E27FC236}">
                      <a16:creationId xmlns:a16="http://schemas.microsoft.com/office/drawing/2014/main" id="{00000000-0008-0000-0000-0000F6080000}"/>
                    </a:ext>
                  </a:extLst>
                </xdr:cNvPr>
                <xdr:cNvSpPr/>
              </xdr:nvSpPr>
              <xdr:spPr>
                <a:xfrm>
                  <a:off x="2143463" y="3467098"/>
                  <a:ext cx="4799170" cy="3074040"/>
                </a:xfrm>
                <a:prstGeom prst="roundRect">
                  <a:avLst/>
                </a:prstGeom>
                <a:solidFill>
                  <a:schemeClr val="bg2"/>
                </a:solidFill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fr-FR"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295" name="TextBox 31">
                  <a:extLst>
                    <a:ext uri="{FF2B5EF4-FFF2-40B4-BE49-F238E27FC236}">
                      <a16:creationId xmlns:a16="http://schemas.microsoft.com/office/drawing/2014/main" id="{00000000-0008-0000-0000-0000F7080000}"/>
                    </a:ext>
                  </a:extLst>
                </xdr:cNvPr>
                <xdr:cNvSpPr txBox="1"/>
              </xdr:nvSpPr>
              <xdr:spPr>
                <a:xfrm>
                  <a:off x="2387597" y="3664250"/>
                  <a:ext cx="2483001" cy="3954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CA" sz="1400" b="1">
                      <a:solidFill>
                        <a:schemeClr val="bg2">
                          <a:lumMod val="25000"/>
                        </a:schemeClr>
                      </a:solidFill>
                      <a:latin typeface="+mn-lt"/>
                      <a:ea typeface="+mn-ea"/>
                      <a:cs typeface="+mn-cs"/>
                    </a:rPr>
                    <a:t>Garantie</a:t>
                  </a:r>
                  <a:r>
                    <a:rPr lang="en-CA" sz="1400" b="1" baseline="0">
                      <a:solidFill>
                        <a:schemeClr val="bg2">
                          <a:lumMod val="25000"/>
                        </a:schemeClr>
                      </a:solidFill>
                      <a:latin typeface="+mn-lt"/>
                      <a:ea typeface="+mn-ea"/>
                      <a:cs typeface="+mn-cs"/>
                    </a:rPr>
                    <a:t> à renouveller</a:t>
                  </a:r>
                  <a:endParaRPr lang="en-CA" sz="1400" b="1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</xdr:grpSp>
          <xdr:pic>
            <xdr:nvPicPr>
              <xdr:cNvPr id="2291" name="Image 2290">
                <a:extLst>
                  <a:ext uri="{FF2B5EF4-FFF2-40B4-BE49-F238E27FC236}">
                    <a16:creationId xmlns:a16="http://schemas.microsoft.com/office/drawing/2014/main" id="{00000000-0008-0000-0000-0000F308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>
                <a:lum bright="70000" contrast="-70000"/>
              </a:blip>
              <a:stretch>
                <a:fillRect/>
              </a:stretch>
            </xdr:blipFill>
            <xdr:spPr>
              <a:xfrm>
                <a:off x="7041298" y="4497854"/>
                <a:ext cx="410026" cy="312901"/>
              </a:xfrm>
              <a:prstGeom prst="rect">
                <a:avLst/>
              </a:prstGeom>
              <a:ln>
                <a:noFill/>
              </a:ln>
            </xdr:spPr>
          </xdr:pic>
        </xdr:grpSp>
        <xdr:grpSp>
          <xdr:nvGrpSpPr>
            <xdr:cNvPr id="11" name="Groupe 10">
              <a:extLst>
                <a:ext uri="{FF2B5EF4-FFF2-40B4-BE49-F238E27FC236}">
                  <a16:creationId xmlns:a16="http://schemas.microsoft.com/office/drawing/2014/main" id="{FAF69CBB-0AB9-3B68-AB75-CFD1A28524F9}"/>
                </a:ext>
              </a:extLst>
            </xdr:cNvPr>
            <xdr:cNvGrpSpPr/>
          </xdr:nvGrpSpPr>
          <xdr:grpSpPr>
            <a:xfrm>
              <a:off x="2346342" y="1800399"/>
              <a:ext cx="4623870" cy="2085437"/>
              <a:chOff x="2933718" y="1784524"/>
              <a:chExt cx="4623870" cy="2085437"/>
            </a:xfrm>
          </xdr:grpSpPr>
          <xdr:grpSp>
            <xdr:nvGrpSpPr>
              <xdr:cNvPr id="2276" name="Groupe 2275">
                <a:extLst>
                  <a:ext uri="{FF2B5EF4-FFF2-40B4-BE49-F238E27FC236}">
                    <a16:creationId xmlns:a16="http://schemas.microsoft.com/office/drawing/2014/main" id="{00000000-0008-0000-0000-0000E4080000}"/>
                  </a:ext>
                </a:extLst>
              </xdr:cNvPr>
              <xdr:cNvGrpSpPr/>
            </xdr:nvGrpSpPr>
            <xdr:grpSpPr>
              <a:xfrm>
                <a:off x="2933718" y="1784524"/>
                <a:ext cx="4623870" cy="2085437"/>
                <a:chOff x="8054354" y="4245472"/>
                <a:chExt cx="4756877" cy="2311245"/>
              </a:xfrm>
            </xdr:grpSpPr>
            <xdr:grpSp>
              <xdr:nvGrpSpPr>
                <xdr:cNvPr id="2298" name="Groupe 2297">
                  <a:extLst>
                    <a:ext uri="{FF2B5EF4-FFF2-40B4-BE49-F238E27FC236}">
                      <a16:creationId xmlns:a16="http://schemas.microsoft.com/office/drawing/2014/main" id="{00000000-0008-0000-0000-0000FA080000}"/>
                    </a:ext>
                  </a:extLst>
                </xdr:cNvPr>
                <xdr:cNvGrpSpPr/>
              </xdr:nvGrpSpPr>
              <xdr:grpSpPr>
                <a:xfrm>
                  <a:off x="8054354" y="4245472"/>
                  <a:ext cx="4756877" cy="2311245"/>
                  <a:chOff x="2118934" y="1575749"/>
                  <a:chExt cx="2879742" cy="955025"/>
                </a:xfrm>
              </xdr:grpSpPr>
              <xdr:sp macro="" textlink="">
                <xdr:nvSpPr>
                  <xdr:cNvPr id="2300" name="Rectangle : coins arrondis 2299">
                    <a:extLst>
                      <a:ext uri="{FF2B5EF4-FFF2-40B4-BE49-F238E27FC236}">
                        <a16:creationId xmlns:a16="http://schemas.microsoft.com/office/drawing/2014/main" id="{00000000-0008-0000-0000-0000FC080000}"/>
                      </a:ext>
                    </a:extLst>
                  </xdr:cNvPr>
                  <xdr:cNvSpPr/>
                </xdr:nvSpPr>
                <xdr:spPr>
                  <a:xfrm>
                    <a:off x="2118934" y="1575749"/>
                    <a:ext cx="2879742" cy="955025"/>
                  </a:xfrm>
                  <a:prstGeom prst="roundRect">
                    <a:avLst/>
                  </a:prstGeom>
                  <a:solidFill>
                    <a:srgbClr val="F4EAB6"/>
                  </a:solidFill>
                  <a:ln>
                    <a:noFill/>
                  </a:ln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marL="0" indent="0" algn="l"/>
                    <a:endParaRPr lang="fr-FR"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endParaRPr>
                  </a:p>
                </xdr:txBody>
              </xdr:sp>
              <xdr:sp macro="" textlink="">
                <xdr:nvSpPr>
                  <xdr:cNvPr id="2301" name="TextBox 31">
                    <a:extLst>
                      <a:ext uri="{FF2B5EF4-FFF2-40B4-BE49-F238E27FC236}">
                        <a16:creationId xmlns:a16="http://schemas.microsoft.com/office/drawing/2014/main" id="{00000000-0008-0000-0000-0000FD080000}"/>
                      </a:ext>
                    </a:extLst>
                  </xdr:cNvPr>
                  <xdr:cNvSpPr txBox="1"/>
                </xdr:nvSpPr>
                <xdr:spPr>
                  <a:xfrm>
                    <a:off x="2259909" y="1590785"/>
                    <a:ext cx="2481214" cy="27119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l"/>
                    <a:r>
                      <a:rPr lang="en-CA" sz="1400" b="1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rPr>
                      <a:t>Statut Garantie </a:t>
                    </a:r>
                  </a:p>
                </xdr:txBody>
              </xdr:sp>
            </xdr:grpSp>
            <xdr:pic>
              <xdr:nvPicPr>
                <xdr:cNvPr id="2297" name="Image 2296">
                  <a:extLst>
                    <a:ext uri="{FF2B5EF4-FFF2-40B4-BE49-F238E27FC236}">
                      <a16:creationId xmlns:a16="http://schemas.microsoft.com/office/drawing/2014/main" id="{00000000-0008-0000-0000-0000F9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3">
                  <a:lum bright="70000" contrast="-70000"/>
                </a:blip>
                <a:stretch>
                  <a:fillRect/>
                </a:stretch>
              </xdr:blipFill>
              <xdr:spPr>
                <a:xfrm>
                  <a:off x="12162940" y="4497396"/>
                  <a:ext cx="361348" cy="272242"/>
                </a:xfrm>
                <a:prstGeom prst="rect">
                  <a:avLst/>
                </a:prstGeom>
                <a:ln>
                  <a:noFill/>
                </a:ln>
              </xdr:spPr>
            </xdr:pic>
          </xdr:grpSp>
          <xdr:graphicFrame macro="">
            <xdr:nvGraphicFramePr>
              <xdr:cNvPr id="2249" name="Graphique 2248">
                <a:extLst>
                  <a:ext uri="{FF2B5EF4-FFF2-40B4-BE49-F238E27FC236}">
                    <a16:creationId xmlns:a16="http://schemas.microsoft.com/office/drawing/2014/main" id="{00000000-0008-0000-0000-0000C9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674510" y="2292070"/>
              <a:ext cx="3476580" cy="147146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</xdr:grpSp>
        <xdr:grpSp>
          <xdr:nvGrpSpPr>
            <xdr:cNvPr id="12" name="Groupe 11">
              <a:extLst>
                <a:ext uri="{FF2B5EF4-FFF2-40B4-BE49-F238E27FC236}">
                  <a16:creationId xmlns:a16="http://schemas.microsoft.com/office/drawing/2014/main" id="{2D273F6C-1894-3D51-467B-5A60709430F2}"/>
                </a:ext>
              </a:extLst>
            </xdr:cNvPr>
            <xdr:cNvGrpSpPr/>
          </xdr:nvGrpSpPr>
          <xdr:grpSpPr>
            <a:xfrm>
              <a:off x="2416074" y="4202715"/>
              <a:ext cx="4622235" cy="2140136"/>
              <a:chOff x="2955824" y="4083652"/>
              <a:chExt cx="4622235" cy="2140136"/>
            </a:xfrm>
          </xdr:grpSpPr>
          <xdr:grpSp>
            <xdr:nvGrpSpPr>
              <xdr:cNvPr id="2275" name="Groupe 2274">
                <a:extLst>
                  <a:ext uri="{FF2B5EF4-FFF2-40B4-BE49-F238E27FC236}">
                    <a16:creationId xmlns:a16="http://schemas.microsoft.com/office/drawing/2014/main" id="{00000000-0008-0000-0000-0000E3080000}"/>
                  </a:ext>
                </a:extLst>
              </xdr:cNvPr>
              <xdr:cNvGrpSpPr/>
            </xdr:nvGrpSpPr>
            <xdr:grpSpPr>
              <a:xfrm>
                <a:off x="2955824" y="4083652"/>
                <a:ext cx="4622235" cy="2140136"/>
                <a:chOff x="8200985" y="1898050"/>
                <a:chExt cx="4752380" cy="2268991"/>
              </a:xfrm>
            </xdr:grpSpPr>
            <xdr:grpSp>
              <xdr:nvGrpSpPr>
                <xdr:cNvPr id="2302" name="Groupe 2301">
                  <a:extLst>
                    <a:ext uri="{FF2B5EF4-FFF2-40B4-BE49-F238E27FC236}">
                      <a16:creationId xmlns:a16="http://schemas.microsoft.com/office/drawing/2014/main" id="{00000000-0008-0000-0000-0000FE080000}"/>
                    </a:ext>
                  </a:extLst>
                </xdr:cNvPr>
                <xdr:cNvGrpSpPr/>
              </xdr:nvGrpSpPr>
              <xdr:grpSpPr>
                <a:xfrm>
                  <a:off x="8200985" y="1898050"/>
                  <a:ext cx="4752380" cy="2268991"/>
                  <a:chOff x="2143462" y="3467097"/>
                  <a:chExt cx="4928851" cy="3118365"/>
                </a:xfrm>
              </xdr:grpSpPr>
              <xdr:sp macro="" textlink="">
                <xdr:nvSpPr>
                  <xdr:cNvPr id="2304" name="Rectangle : coins arrondis 2303">
                    <a:extLst>
                      <a:ext uri="{FF2B5EF4-FFF2-40B4-BE49-F238E27FC236}">
                        <a16:creationId xmlns:a16="http://schemas.microsoft.com/office/drawing/2014/main" id="{00000000-0008-0000-0000-000000090000}"/>
                      </a:ext>
                    </a:extLst>
                  </xdr:cNvPr>
                  <xdr:cNvSpPr/>
                </xdr:nvSpPr>
                <xdr:spPr>
                  <a:xfrm>
                    <a:off x="2143462" y="3467097"/>
                    <a:ext cx="4928851" cy="3118365"/>
                  </a:xfrm>
                  <a:prstGeom prst="roundRect">
                    <a:avLst/>
                  </a:prstGeom>
                  <a:solidFill>
                    <a:srgbClr val="DDF2FB"/>
                  </a:solidFill>
                  <a:ln>
                    <a:noFill/>
                  </a:ln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marL="0" indent="0" algn="l"/>
                    <a:endParaRPr lang="fr-FR"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endParaRPr>
                  </a:p>
                </xdr:txBody>
              </xdr:sp>
              <xdr:sp macro="" textlink="">
                <xdr:nvSpPr>
                  <xdr:cNvPr id="2305" name="TextBox 31">
                    <a:extLst>
                      <a:ext uri="{FF2B5EF4-FFF2-40B4-BE49-F238E27FC236}">
                        <a16:creationId xmlns:a16="http://schemas.microsoft.com/office/drawing/2014/main" id="{00000000-0008-0000-0000-000001090000}"/>
                      </a:ext>
                    </a:extLst>
                  </xdr:cNvPr>
                  <xdr:cNvSpPr txBox="1"/>
                </xdr:nvSpPr>
                <xdr:spPr>
                  <a:xfrm>
                    <a:off x="2387597" y="3664251"/>
                    <a:ext cx="2483001" cy="46836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l"/>
                    <a:r>
                      <a:rPr lang="en-CA" sz="1400" b="1">
                        <a:solidFill>
                          <a:srgbClr val="00B0F0"/>
                        </a:solidFill>
                        <a:latin typeface="+mn-lt"/>
                        <a:ea typeface="+mn-ea"/>
                        <a:cs typeface="+mn-cs"/>
                      </a:rPr>
                      <a:t>Comission</a:t>
                    </a:r>
                    <a:r>
                      <a:rPr lang="en-CA" sz="1400" b="1" baseline="0">
                        <a:solidFill>
                          <a:srgbClr val="00B0F0"/>
                        </a:solidFill>
                        <a:latin typeface="+mn-lt"/>
                        <a:ea typeface="+mn-ea"/>
                        <a:cs typeface="+mn-cs"/>
                      </a:rPr>
                      <a:t> payée</a:t>
                    </a:r>
                    <a:endParaRPr lang="en-CA" sz="1400" b="1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endParaRPr>
                  </a:p>
                </xdr:txBody>
              </xdr:sp>
            </xdr:grpSp>
            <xdr:pic>
              <xdr:nvPicPr>
                <xdr:cNvPr id="2303" name="Image 2302">
                  <a:extLst>
                    <a:ext uri="{FF2B5EF4-FFF2-40B4-BE49-F238E27FC236}">
                      <a16:creationId xmlns:a16="http://schemas.microsoft.com/office/drawing/2014/main" id="{00000000-0008-0000-0000-0000FF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5">
                  <a:lum bright="70000" contrast="-70000"/>
                </a:blip>
                <a:stretch>
                  <a:fillRect/>
                </a:stretch>
              </xdr:blipFill>
              <xdr:spPr>
                <a:xfrm>
                  <a:off x="12381142" y="2119217"/>
                  <a:ext cx="393421" cy="271517"/>
                </a:xfrm>
                <a:prstGeom prst="rect">
                  <a:avLst/>
                </a:prstGeom>
                <a:ln>
                  <a:noFill/>
                </a:ln>
              </xdr:spPr>
            </xdr:pic>
          </xdr:grpSp>
          <xdr:graphicFrame macro="">
            <xdr:nvGraphicFramePr>
              <xdr:cNvPr id="2250" name="Graphique 2249">
                <a:extLst>
                  <a:ext uri="{FF2B5EF4-FFF2-40B4-BE49-F238E27FC236}">
                    <a16:creationId xmlns:a16="http://schemas.microsoft.com/office/drawing/2014/main" id="{00000000-0008-0000-0000-0000CA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851033" y="4409377"/>
              <a:ext cx="3270574" cy="161379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6"/>
              </a:graphicData>
            </a:graphic>
          </xdr:graphicFrame>
        </xdr:grpSp>
      </xdr:grpSp>
      <xdr:cxnSp macro="">
        <xdr:nvCxnSpPr>
          <xdr:cNvPr id="19" name="Connecteur droit 18">
            <a:extLst>
              <a:ext uri="{FF2B5EF4-FFF2-40B4-BE49-F238E27FC236}">
                <a16:creationId xmlns:a16="http://schemas.microsoft.com/office/drawing/2014/main" id="{8F4D6198-7C9A-416C-8186-E7887442DFD5}"/>
              </a:ext>
            </a:extLst>
          </xdr:cNvPr>
          <xdr:cNvCxnSpPr/>
        </xdr:nvCxnSpPr>
        <xdr:spPr>
          <a:xfrm flipV="1">
            <a:off x="2354036" y="1795008"/>
            <a:ext cx="9913937" cy="15875"/>
          </a:xfrm>
          <a:prstGeom prst="line">
            <a:avLst/>
          </a:prstGeom>
          <a:ln w="19050">
            <a:solidFill>
              <a:schemeClr val="bg2">
                <a:lumMod val="90000"/>
              </a:schemeClr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BBB6270B-B67C-AE04-888B-D534340860F6}"/>
              </a:ext>
            </a:extLst>
          </xdr:cNvPr>
          <xdr:cNvSpPr txBox="1"/>
        </xdr:nvSpPr>
        <xdr:spPr>
          <a:xfrm>
            <a:off x="1939697" y="2348366"/>
            <a:ext cx="1031147" cy="44386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" wrap="square" rtlCol="0" anchor="t"/>
          <a:lstStyle/>
          <a:p>
            <a:r>
              <a:rPr lang="fr-FR" sz="1400" b="1">
                <a:solidFill>
                  <a:schemeClr val="bg2">
                    <a:lumMod val="75000"/>
                  </a:schemeClr>
                </a:solidFill>
              </a:rPr>
              <a:t>EN CHIFFRES</a:t>
            </a:r>
          </a:p>
        </xdr:txBody>
      </xdr:sp>
    </xdr:grpSp>
    <xdr:clientData/>
  </xdr:twoCellAnchor>
  <xdr:twoCellAnchor>
    <xdr:from>
      <xdr:col>14</xdr:col>
      <xdr:colOff>274631</xdr:colOff>
      <xdr:row>21</xdr:row>
      <xdr:rowOff>61951</xdr:rowOff>
    </xdr:from>
    <xdr:to>
      <xdr:col>19</xdr:col>
      <xdr:colOff>38720</xdr:colOff>
      <xdr:row>29</xdr:row>
      <xdr:rowOff>99266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25D10DB4-1A2E-4C07-A6AF-4C0E9740D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10</xdr:row>
      <xdr:rowOff>265373</xdr:rowOff>
    </xdr:from>
    <xdr:to>
      <xdr:col>2</xdr:col>
      <xdr:colOff>793637</xdr:colOff>
      <xdr:row>26</xdr:row>
      <xdr:rowOff>168722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DE38DF26-3334-4429-9EC7-9C9EE302479A}"/>
            </a:ext>
          </a:extLst>
        </xdr:cNvPr>
        <xdr:cNvGrpSpPr/>
      </xdr:nvGrpSpPr>
      <xdr:grpSpPr>
        <a:xfrm>
          <a:off x="0" y="2373573"/>
          <a:ext cx="2495437" cy="3205349"/>
          <a:chOff x="0" y="2338930"/>
          <a:chExt cx="2480652" cy="3049917"/>
        </a:xfrm>
      </xdr:grpSpPr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4CA3C39A-C638-54C7-3999-05902B589F24}"/>
              </a:ext>
            </a:extLst>
          </xdr:cNvPr>
          <xdr:cNvSpPr txBox="1"/>
        </xdr:nvSpPr>
        <xdr:spPr>
          <a:xfrm>
            <a:off x="31319" y="4784330"/>
            <a:ext cx="1606645" cy="230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200" b="1">
                <a:solidFill>
                  <a:srgbClr val="0071C2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Filtre par semaine</a:t>
            </a:r>
          </a:p>
        </xdr:txBody>
      </xdr:sp>
      <xdr:grpSp>
        <xdr:nvGrpSpPr>
          <xdr:cNvPr id="2240" name="Groupe 2239">
            <a:extLst>
              <a:ext uri="{FF2B5EF4-FFF2-40B4-BE49-F238E27FC236}">
                <a16:creationId xmlns:a16="http://schemas.microsoft.com/office/drawing/2014/main" id="{FFA6B523-5936-2A71-CF24-B7477ABDA85D}"/>
              </a:ext>
            </a:extLst>
          </xdr:cNvPr>
          <xdr:cNvGrpSpPr/>
        </xdr:nvGrpSpPr>
        <xdr:grpSpPr>
          <a:xfrm>
            <a:off x="42164" y="5158759"/>
            <a:ext cx="951250" cy="230088"/>
            <a:chOff x="81162" y="2576238"/>
            <a:chExt cx="954118" cy="228264"/>
          </a:xfrm>
        </xdr:grpSpPr>
        <xdr:sp macro="" textlink="">
          <xdr:nvSpPr>
            <xdr:cNvPr id="2244" name="ZoneTexte 2243">
              <a:extLst>
                <a:ext uri="{FF2B5EF4-FFF2-40B4-BE49-F238E27FC236}">
                  <a16:creationId xmlns:a16="http://schemas.microsoft.com/office/drawing/2014/main" id="{AD1B2EA7-9403-5BE1-1E03-2A703C06CC24}"/>
                </a:ext>
              </a:extLst>
            </xdr:cNvPr>
            <xdr:cNvSpPr txBox="1"/>
          </xdr:nvSpPr>
          <xdr:spPr>
            <a:xfrm>
              <a:off x="81162" y="2576238"/>
              <a:ext cx="954118" cy="22826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200" b="1"/>
                <a:t>Juin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242" name="mois  4">
                <a:extLst>
                  <a:ext uri="{FF2B5EF4-FFF2-40B4-BE49-F238E27FC236}">
                    <a16:creationId xmlns:a16="http://schemas.microsoft.com/office/drawing/2014/main" id="{0B9A6BD2-B415-B140-A9E0-9A6D07614792}"/>
                  </a:ext>
                </a:extLst>
              </xdr:cNvPr>
              <xdr:cNvGraphicFramePr/>
            </xdr:nvGraphicFramePr>
            <xdr:xfrm>
              <a:off x="0" y="2724938"/>
              <a:ext cx="1773081" cy="1865823"/>
            </xdr:xfrm>
            <a:graphic>
              <a:graphicData uri="http://schemas.microsoft.com/office/drawing/2010/slicer">
                <sle:slicer xmlns:sle="http://schemas.microsoft.com/office/drawing/2010/slicer" name="mois 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2670112"/>
                <a:ext cx="1773081" cy="186582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xdr:sp macro="" textlink="">
        <xdr:nvSpPr>
          <xdr:cNvPr id="2243" name="TextBox 31">
            <a:extLst>
              <a:ext uri="{FF2B5EF4-FFF2-40B4-BE49-F238E27FC236}">
                <a16:creationId xmlns:a16="http://schemas.microsoft.com/office/drawing/2014/main" id="{B5647D64-9D5C-56E2-7A8A-F26D31975E5B}"/>
              </a:ext>
            </a:extLst>
          </xdr:cNvPr>
          <xdr:cNvSpPr txBox="1"/>
        </xdr:nvSpPr>
        <xdr:spPr>
          <a:xfrm>
            <a:off x="0" y="2338930"/>
            <a:ext cx="2480652" cy="2760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CA" sz="1200" b="1">
                <a:solidFill>
                  <a:srgbClr val="0070C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Filtre</a:t>
            </a:r>
            <a:r>
              <a:rPr lang="en-CA" sz="1200" b="1" baseline="0">
                <a:solidFill>
                  <a:srgbClr val="0070C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par mois </a:t>
            </a:r>
            <a:endParaRPr lang="en-CA" sz="1200" b="1">
              <a:solidFill>
                <a:srgbClr val="0070C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27</xdr:row>
      <xdr:rowOff>37910</xdr:rowOff>
    </xdr:from>
    <xdr:to>
      <xdr:col>1</xdr:col>
      <xdr:colOff>1042537</xdr:colOff>
      <xdr:row>31</xdr:row>
      <xdr:rowOff>8425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245" name="Colonne1">
              <a:extLst>
                <a:ext uri="{FF2B5EF4-FFF2-40B4-BE49-F238E27FC236}">
                  <a16:creationId xmlns:a16="http://schemas.microsoft.com/office/drawing/2014/main" id="{D37222A2-687D-42AF-85F5-28D79573ED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nne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383283"/>
              <a:ext cx="1658582" cy="6908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290414</xdr:colOff>
      <xdr:row>4</xdr:row>
      <xdr:rowOff>96079</xdr:rowOff>
    </xdr:from>
    <xdr:to>
      <xdr:col>2</xdr:col>
      <xdr:colOff>34675</xdr:colOff>
      <xdr:row>6</xdr:row>
      <xdr:rowOff>112154</xdr:rowOff>
    </xdr:to>
    <xdr:sp macro="" textlink="">
      <xdr:nvSpPr>
        <xdr:cNvPr id="12" name="ZoneTexte 11">
          <a:hlinkClick xmlns:r="http://schemas.openxmlformats.org/officeDocument/2006/relationships" r:id="rId1" tooltip="Go To Statut Global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90414" y="832679"/>
          <a:ext cx="1433361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>
                  <a:lumMod val="90000"/>
                </a:schemeClr>
              </a:solidFill>
            </a:rPr>
            <a:t>Statut Global</a:t>
          </a:r>
        </a:p>
      </xdr:txBody>
    </xdr:sp>
    <xdr:clientData/>
  </xdr:twoCellAnchor>
  <xdr:twoCellAnchor>
    <xdr:from>
      <xdr:col>0</xdr:col>
      <xdr:colOff>298727</xdr:colOff>
      <xdr:row>7</xdr:row>
      <xdr:rowOff>23103</xdr:rowOff>
    </xdr:from>
    <xdr:to>
      <xdr:col>2</xdr:col>
      <xdr:colOff>41089</xdr:colOff>
      <xdr:row>8</xdr:row>
      <xdr:rowOff>116435</xdr:rowOff>
    </xdr:to>
    <xdr:sp macro="" textlink="">
      <xdr:nvSpPr>
        <xdr:cNvPr id="13" name="ZoneTexte 12">
          <a:hlinkClick xmlns:r="http://schemas.openxmlformats.org/officeDocument/2006/relationships" r:id="rId2" tooltip="Go To TAF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298727" y="1312153"/>
          <a:ext cx="1431462" cy="487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tx1"/>
              </a:solidFill>
            </a:rPr>
            <a:t>TAF</a:t>
          </a:r>
          <a:r>
            <a:rPr lang="fr-FR" sz="1100" b="1" baseline="0">
              <a:solidFill>
                <a:schemeClr val="bg2">
                  <a:lumMod val="90000"/>
                </a:schemeClr>
              </a:solidFill>
            </a:rPr>
            <a:t> </a:t>
          </a:r>
          <a:endParaRPr lang="fr-FR" sz="1100" b="1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365606</xdr:colOff>
      <xdr:row>14</xdr:row>
      <xdr:rowOff>51313</xdr:rowOff>
    </xdr:from>
    <xdr:to>
      <xdr:col>3</xdr:col>
      <xdr:colOff>613192</xdr:colOff>
      <xdr:row>15</xdr:row>
      <xdr:rowOff>171963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3007206" y="3099313"/>
          <a:ext cx="30473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102625</xdr:colOff>
      <xdr:row>4</xdr:row>
      <xdr:rowOff>149575</xdr:rowOff>
    </xdr:from>
    <xdr:to>
      <xdr:col>0</xdr:col>
      <xdr:colOff>301464</xdr:colOff>
      <xdr:row>5</xdr:row>
      <xdr:rowOff>162403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2625" y="886175"/>
          <a:ext cx="198839" cy="196978"/>
        </a:xfrm>
        <a:prstGeom prst="rect">
          <a:avLst/>
        </a:prstGeom>
      </xdr:spPr>
    </xdr:pic>
    <xdr:clientData/>
  </xdr:twoCellAnchor>
  <xdr:twoCellAnchor editAs="oneCell">
    <xdr:from>
      <xdr:col>0</xdr:col>
      <xdr:colOff>88900</xdr:colOff>
      <xdr:row>7</xdr:row>
      <xdr:rowOff>15361</xdr:rowOff>
    </xdr:from>
    <xdr:to>
      <xdr:col>0</xdr:col>
      <xdr:colOff>336550</xdr:colOff>
      <xdr:row>7</xdr:row>
      <xdr:rowOff>254000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900" y="1299472"/>
          <a:ext cx="247650" cy="238639"/>
        </a:xfrm>
        <a:prstGeom prst="rect">
          <a:avLst/>
        </a:prstGeom>
      </xdr:spPr>
    </xdr:pic>
    <xdr:clientData/>
  </xdr:twoCellAnchor>
  <xdr:twoCellAnchor>
    <xdr:from>
      <xdr:col>2</xdr:col>
      <xdr:colOff>90020</xdr:colOff>
      <xdr:row>7</xdr:row>
      <xdr:rowOff>63961</xdr:rowOff>
    </xdr:from>
    <xdr:to>
      <xdr:col>2</xdr:col>
      <xdr:colOff>136246</xdr:colOff>
      <xdr:row>7</xdr:row>
      <xdr:rowOff>273102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779120" y="1353011"/>
          <a:ext cx="46226" cy="209141"/>
        </a:xfrm>
        <a:prstGeom prst="rect">
          <a:avLst/>
        </a:prstGeom>
        <a:solidFill>
          <a:srgbClr val="0071C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290414</xdr:colOff>
      <xdr:row>4</xdr:row>
      <xdr:rowOff>96079</xdr:rowOff>
    </xdr:from>
    <xdr:to>
      <xdr:col>2</xdr:col>
      <xdr:colOff>34675</xdr:colOff>
      <xdr:row>6</xdr:row>
      <xdr:rowOff>112154</xdr:rowOff>
    </xdr:to>
    <xdr:sp macro="" textlink="">
      <xdr:nvSpPr>
        <xdr:cNvPr id="116" name="ZoneTexte 115">
          <a:hlinkClick xmlns:r="http://schemas.openxmlformats.org/officeDocument/2006/relationships" r:id="rId1" tooltip="Go To Statut Global"/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290414" y="832679"/>
          <a:ext cx="1433361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Statut Global</a:t>
          </a:r>
        </a:p>
      </xdr:txBody>
    </xdr:sp>
    <xdr:clientData/>
  </xdr:twoCellAnchor>
  <xdr:twoCellAnchor>
    <xdr:from>
      <xdr:col>0</xdr:col>
      <xdr:colOff>298727</xdr:colOff>
      <xdr:row>7</xdr:row>
      <xdr:rowOff>23103</xdr:rowOff>
    </xdr:from>
    <xdr:to>
      <xdr:col>2</xdr:col>
      <xdr:colOff>41089</xdr:colOff>
      <xdr:row>8</xdr:row>
      <xdr:rowOff>116435</xdr:rowOff>
    </xdr:to>
    <xdr:sp macro="" textlink="">
      <xdr:nvSpPr>
        <xdr:cNvPr id="117" name="ZoneTexte 116">
          <a:hlinkClick xmlns:r="http://schemas.openxmlformats.org/officeDocument/2006/relationships" r:id="rId2" tooltip="Go To TAF"/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298727" y="1312153"/>
          <a:ext cx="1431462" cy="487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tx1"/>
              </a:solidFill>
            </a:rPr>
            <a:t>TAF</a:t>
          </a:r>
          <a:r>
            <a:rPr lang="fr-FR" sz="1100" b="1" baseline="0">
              <a:solidFill>
                <a:schemeClr val="bg2">
                  <a:lumMod val="90000"/>
                </a:schemeClr>
              </a:solidFill>
            </a:rPr>
            <a:t> </a:t>
          </a:r>
          <a:endParaRPr lang="fr-FR" sz="1100" b="1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365606</xdr:colOff>
      <xdr:row>14</xdr:row>
      <xdr:rowOff>51313</xdr:rowOff>
    </xdr:from>
    <xdr:to>
      <xdr:col>4</xdr:col>
      <xdr:colOff>27405</xdr:colOff>
      <xdr:row>15</xdr:row>
      <xdr:rowOff>171963</xdr:rowOff>
    </xdr:to>
    <xdr:sp macro="" textlink="">
      <xdr:nvSpPr>
        <xdr:cNvPr id="118" name="AutoShape 2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3007206" y="3099313"/>
          <a:ext cx="30473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102625</xdr:colOff>
      <xdr:row>4</xdr:row>
      <xdr:rowOff>149575</xdr:rowOff>
    </xdr:from>
    <xdr:to>
      <xdr:col>0</xdr:col>
      <xdr:colOff>301464</xdr:colOff>
      <xdr:row>5</xdr:row>
      <xdr:rowOff>162403</xdr:rowOff>
    </xdr:to>
    <xdr:pic>
      <xdr:nvPicPr>
        <xdr:cNvPr id="119" name="Image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2625" y="886175"/>
          <a:ext cx="198839" cy="196978"/>
        </a:xfrm>
        <a:prstGeom prst="rect">
          <a:avLst/>
        </a:prstGeom>
      </xdr:spPr>
    </xdr:pic>
    <xdr:clientData/>
  </xdr:twoCellAnchor>
  <xdr:twoCellAnchor editAs="oneCell">
    <xdr:from>
      <xdr:col>0</xdr:col>
      <xdr:colOff>83384</xdr:colOff>
      <xdr:row>7</xdr:row>
      <xdr:rowOff>32683</xdr:rowOff>
    </xdr:from>
    <xdr:to>
      <xdr:col>0</xdr:col>
      <xdr:colOff>333536</xdr:colOff>
      <xdr:row>7</xdr:row>
      <xdr:rowOff>252392</xdr:rowOff>
    </xdr:to>
    <xdr:pic>
      <xdr:nvPicPr>
        <xdr:cNvPr id="120" name="Image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384" y="1321733"/>
          <a:ext cx="250152" cy="219709"/>
        </a:xfrm>
        <a:prstGeom prst="rect">
          <a:avLst/>
        </a:prstGeom>
      </xdr:spPr>
    </xdr:pic>
    <xdr:clientData/>
  </xdr:twoCellAnchor>
  <xdr:twoCellAnchor>
    <xdr:from>
      <xdr:col>2</xdr:col>
      <xdr:colOff>90020</xdr:colOff>
      <xdr:row>7</xdr:row>
      <xdr:rowOff>30623</xdr:rowOff>
    </xdr:from>
    <xdr:to>
      <xdr:col>2</xdr:col>
      <xdr:colOff>136246</xdr:colOff>
      <xdr:row>7</xdr:row>
      <xdr:rowOff>238177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780708" y="1308561"/>
          <a:ext cx="46226" cy="207554"/>
        </a:xfrm>
        <a:prstGeom prst="rect">
          <a:avLst/>
        </a:prstGeom>
        <a:solidFill>
          <a:srgbClr val="0071C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306388</xdr:colOff>
      <xdr:row>8</xdr:row>
      <xdr:rowOff>87600</xdr:rowOff>
    </xdr:from>
    <xdr:to>
      <xdr:col>2</xdr:col>
      <xdr:colOff>50649</xdr:colOff>
      <xdr:row>10</xdr:row>
      <xdr:rowOff>106850</xdr:rowOff>
    </xdr:to>
    <xdr:sp macro="" textlink="">
      <xdr:nvSpPr>
        <xdr:cNvPr id="125" name="ZoneTexte 124">
          <a:hlinkClick xmlns:r="http://schemas.openxmlformats.org/officeDocument/2006/relationships" r:id="rId5" tooltip="Go To Statut Global"/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/>
      </xdr:nvSpPr>
      <xdr:spPr>
        <a:xfrm>
          <a:off x="306388" y="1762413"/>
          <a:ext cx="1434949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Clients</a:t>
          </a:r>
        </a:p>
      </xdr:txBody>
    </xdr:sp>
    <xdr:clientData/>
  </xdr:twoCellAnchor>
  <xdr:twoCellAnchor editAs="oneCell">
    <xdr:from>
      <xdr:col>0</xdr:col>
      <xdr:colOff>119062</xdr:colOff>
      <xdr:row>8</xdr:row>
      <xdr:rowOff>113921</xdr:rowOff>
    </xdr:from>
    <xdr:to>
      <xdr:col>0</xdr:col>
      <xdr:colOff>309643</xdr:colOff>
      <xdr:row>9</xdr:row>
      <xdr:rowOff>120494</xdr:rowOff>
    </xdr:to>
    <xdr:pic>
      <xdr:nvPicPr>
        <xdr:cNvPr id="155" name="Image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9062" y="1800727"/>
          <a:ext cx="190581" cy="189295"/>
        </a:xfrm>
        <a:prstGeom prst="rect">
          <a:avLst/>
        </a:prstGeom>
      </xdr:spPr>
    </xdr:pic>
    <xdr:clientData/>
  </xdr:twoCellAnchor>
  <xdr:twoCellAnchor>
    <xdr:from>
      <xdr:col>13</xdr:col>
      <xdr:colOff>222250</xdr:colOff>
      <xdr:row>7</xdr:row>
      <xdr:rowOff>317500</xdr:rowOff>
    </xdr:from>
    <xdr:to>
      <xdr:col>15</xdr:col>
      <xdr:colOff>349250</xdr:colOff>
      <xdr:row>11</xdr:row>
      <xdr:rowOff>101600</xdr:rowOff>
    </xdr:to>
    <xdr:graphicFrame macro="">
      <xdr:nvGraphicFramePr>
        <xdr:cNvPr id="163" name="Graphique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19844</xdr:colOff>
      <xdr:row>0</xdr:row>
      <xdr:rowOff>6615</xdr:rowOff>
    </xdr:from>
    <xdr:to>
      <xdr:col>2</xdr:col>
      <xdr:colOff>132291</xdr:colOff>
      <xdr:row>1</xdr:row>
      <xdr:rowOff>160084</xdr:rowOff>
    </xdr:to>
    <xdr:sp macro="" textlink="">
      <xdr:nvSpPr>
        <xdr:cNvPr id="506" name="Rectangle 505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SpPr/>
      </xdr:nvSpPr>
      <xdr:spPr>
        <a:xfrm>
          <a:off x="19844" y="6615"/>
          <a:ext cx="1801547" cy="33761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219636</xdr:colOff>
      <xdr:row>0</xdr:row>
      <xdr:rowOff>79375</xdr:rowOff>
    </xdr:from>
    <xdr:to>
      <xdr:col>1</xdr:col>
      <xdr:colOff>968374</xdr:colOff>
      <xdr:row>1</xdr:row>
      <xdr:rowOff>56029</xdr:rowOff>
    </xdr:to>
    <xdr:sp macro="" textlink="">
      <xdr:nvSpPr>
        <xdr:cNvPr id="507" name="Freeform 15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SpPr/>
      </xdr:nvSpPr>
      <xdr:spPr>
        <a:xfrm>
          <a:off x="219636" y="79375"/>
          <a:ext cx="1364688" cy="160804"/>
        </a:xfrm>
        <a:custGeom>
          <a:avLst/>
          <a:gdLst/>
          <a:ahLst/>
          <a:cxnLst/>
          <a:rect l="l" t="t" r="r" b="b"/>
          <a:pathLst>
            <a:path w="4379581" h="541297">
              <a:moveTo>
                <a:pt x="0" y="0"/>
              </a:moveTo>
              <a:lnTo>
                <a:pt x="4379581" y="0"/>
              </a:lnTo>
              <a:lnTo>
                <a:pt x="4379581" y="541297"/>
              </a:lnTo>
              <a:lnTo>
                <a:pt x="0" y="541297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</xdr:spPr>
      <xdr:txBody>
        <a:bodyPr wrap="square"/>
        <a:lstStyle/>
        <a:p>
          <a:endParaRPr lang="fr-FR"/>
        </a:p>
      </xdr:txBody>
    </xdr:sp>
    <xdr:clientData/>
  </xdr:twoCellAnchor>
  <xdr:twoCellAnchor>
    <xdr:from>
      <xdr:col>2</xdr:col>
      <xdr:colOff>139154</xdr:colOff>
      <xdr:row>0</xdr:row>
      <xdr:rowOff>11870</xdr:rowOff>
    </xdr:from>
    <xdr:to>
      <xdr:col>32</xdr:col>
      <xdr:colOff>436562</xdr:colOff>
      <xdr:row>1</xdr:row>
      <xdr:rowOff>107723</xdr:rowOff>
    </xdr:to>
    <xdr:sp macro="" textlink="">
      <xdr:nvSpPr>
        <xdr:cNvPr id="508" name="Rectangle 507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SpPr/>
      </xdr:nvSpPr>
      <xdr:spPr>
        <a:xfrm>
          <a:off x="1828708" y="11870"/>
          <a:ext cx="17051202" cy="277282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2</xdr:col>
      <xdr:colOff>133350</xdr:colOff>
      <xdr:row>1</xdr:row>
      <xdr:rowOff>133403</xdr:rowOff>
    </xdr:to>
    <xdr:sp macro="" textlink="">
      <xdr:nvSpPr>
        <xdr:cNvPr id="509" name="Rectangle 508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SpPr/>
      </xdr:nvSpPr>
      <xdr:spPr>
        <a:xfrm>
          <a:off x="0" y="1"/>
          <a:ext cx="1822450" cy="317552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1</xdr:row>
      <xdr:rowOff>110433</xdr:rowOff>
    </xdr:from>
    <xdr:to>
      <xdr:col>2</xdr:col>
      <xdr:colOff>134099</xdr:colOff>
      <xdr:row>144</xdr:row>
      <xdr:rowOff>40135</xdr:rowOff>
    </xdr:to>
    <xdr:sp macro="" textlink="">
      <xdr:nvSpPr>
        <xdr:cNvPr id="510" name="Rectangle 509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SpPr/>
      </xdr:nvSpPr>
      <xdr:spPr>
        <a:xfrm>
          <a:off x="0" y="292996"/>
          <a:ext cx="1824787" cy="26528264"/>
        </a:xfrm>
        <a:prstGeom prst="rect">
          <a:avLst/>
        </a:prstGeom>
        <a:solidFill>
          <a:schemeClr val="bg1"/>
        </a:solidFill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223463</xdr:colOff>
      <xdr:row>0</xdr:row>
      <xdr:rowOff>15876</xdr:rowOff>
    </xdr:from>
    <xdr:to>
      <xdr:col>9</xdr:col>
      <xdr:colOff>354972</xdr:colOff>
      <xdr:row>1</xdr:row>
      <xdr:rowOff>105353</xdr:rowOff>
    </xdr:to>
    <xdr:sp macro="" textlink="">
      <xdr:nvSpPr>
        <xdr:cNvPr id="511" name="ZoneTexte 510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SpPr txBox="1"/>
      </xdr:nvSpPr>
      <xdr:spPr>
        <a:xfrm>
          <a:off x="1912563" y="15876"/>
          <a:ext cx="4633659" cy="273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5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TABLEAU</a:t>
          </a:r>
          <a:r>
            <a:rPr lang="fr-FR" sz="105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BORD SUIVI ET SYNTHESE</a:t>
          </a:r>
          <a:endParaRPr lang="fr-FR" sz="105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290414</xdr:colOff>
      <xdr:row>4</xdr:row>
      <xdr:rowOff>96079</xdr:rowOff>
    </xdr:from>
    <xdr:to>
      <xdr:col>2</xdr:col>
      <xdr:colOff>34675</xdr:colOff>
      <xdr:row>6</xdr:row>
      <xdr:rowOff>112154</xdr:rowOff>
    </xdr:to>
    <xdr:sp macro="" textlink="">
      <xdr:nvSpPr>
        <xdr:cNvPr id="512" name="ZoneTexte 511">
          <a:hlinkClick xmlns:r="http://schemas.openxmlformats.org/officeDocument/2006/relationships" r:id="rId1" tooltip="Go To Statut Global"/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SpPr txBox="1"/>
      </xdr:nvSpPr>
      <xdr:spPr>
        <a:xfrm>
          <a:off x="290414" y="832679"/>
          <a:ext cx="1433361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Statut Global</a:t>
          </a:r>
        </a:p>
      </xdr:txBody>
    </xdr:sp>
    <xdr:clientData/>
  </xdr:twoCellAnchor>
  <xdr:twoCellAnchor>
    <xdr:from>
      <xdr:col>0</xdr:col>
      <xdr:colOff>298727</xdr:colOff>
      <xdr:row>7</xdr:row>
      <xdr:rowOff>23103</xdr:rowOff>
    </xdr:from>
    <xdr:to>
      <xdr:col>2</xdr:col>
      <xdr:colOff>41089</xdr:colOff>
      <xdr:row>8</xdr:row>
      <xdr:rowOff>116435</xdr:rowOff>
    </xdr:to>
    <xdr:sp macro="" textlink="">
      <xdr:nvSpPr>
        <xdr:cNvPr id="513" name="ZoneTexte 512">
          <a:hlinkClick xmlns:r="http://schemas.openxmlformats.org/officeDocument/2006/relationships" r:id="rId2" tooltip="Go To TAF"/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SpPr txBox="1"/>
      </xdr:nvSpPr>
      <xdr:spPr>
        <a:xfrm>
          <a:off x="298727" y="1312153"/>
          <a:ext cx="1431462" cy="487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tx1"/>
              </a:solidFill>
            </a:rPr>
            <a:t>TAF</a:t>
          </a:r>
        </a:p>
      </xdr:txBody>
    </xdr:sp>
    <xdr:clientData/>
  </xdr:twoCellAnchor>
  <xdr:twoCellAnchor editAs="oneCell">
    <xdr:from>
      <xdr:col>3</xdr:col>
      <xdr:colOff>365606</xdr:colOff>
      <xdr:row>14</xdr:row>
      <xdr:rowOff>51313</xdr:rowOff>
    </xdr:from>
    <xdr:to>
      <xdr:col>4</xdr:col>
      <xdr:colOff>28992</xdr:colOff>
      <xdr:row>15</xdr:row>
      <xdr:rowOff>171963</xdr:rowOff>
    </xdr:to>
    <xdr:sp macro="" textlink="">
      <xdr:nvSpPr>
        <xdr:cNvPr id="514" name="AutoShape 2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SpPr>
          <a:spLocks noChangeAspect="1" noChangeArrowheads="1"/>
        </xdr:cNvSpPr>
      </xdr:nvSpPr>
      <xdr:spPr bwMode="auto">
        <a:xfrm>
          <a:off x="3007206" y="3099313"/>
          <a:ext cx="30473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102625</xdr:colOff>
      <xdr:row>4</xdr:row>
      <xdr:rowOff>149575</xdr:rowOff>
    </xdr:from>
    <xdr:to>
      <xdr:col>0</xdr:col>
      <xdr:colOff>301464</xdr:colOff>
      <xdr:row>5</xdr:row>
      <xdr:rowOff>162403</xdr:rowOff>
    </xdr:to>
    <xdr:pic>
      <xdr:nvPicPr>
        <xdr:cNvPr id="515" name="Image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2625" y="886175"/>
          <a:ext cx="198839" cy="196978"/>
        </a:xfrm>
        <a:prstGeom prst="rect">
          <a:avLst/>
        </a:prstGeom>
      </xdr:spPr>
    </xdr:pic>
    <xdr:clientData/>
  </xdr:twoCellAnchor>
  <xdr:twoCellAnchor editAs="oneCell">
    <xdr:from>
      <xdr:col>0</xdr:col>
      <xdr:colOff>83384</xdr:colOff>
      <xdr:row>7</xdr:row>
      <xdr:rowOff>32683</xdr:rowOff>
    </xdr:from>
    <xdr:to>
      <xdr:col>0</xdr:col>
      <xdr:colOff>333536</xdr:colOff>
      <xdr:row>7</xdr:row>
      <xdr:rowOff>252392</xdr:rowOff>
    </xdr:to>
    <xdr:pic>
      <xdr:nvPicPr>
        <xdr:cNvPr id="516" name="Image 515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384" y="1321733"/>
          <a:ext cx="250152" cy="219709"/>
        </a:xfrm>
        <a:prstGeom prst="rect">
          <a:avLst/>
        </a:prstGeom>
      </xdr:spPr>
    </xdr:pic>
    <xdr:clientData/>
  </xdr:twoCellAnchor>
  <xdr:twoCellAnchor>
    <xdr:from>
      <xdr:col>2</xdr:col>
      <xdr:colOff>90020</xdr:colOff>
      <xdr:row>7</xdr:row>
      <xdr:rowOff>32211</xdr:rowOff>
    </xdr:from>
    <xdr:to>
      <xdr:col>2</xdr:col>
      <xdr:colOff>136246</xdr:colOff>
      <xdr:row>7</xdr:row>
      <xdr:rowOff>241352</xdr:rowOff>
    </xdr:to>
    <xdr:sp macro="" textlink="">
      <xdr:nvSpPr>
        <xdr:cNvPr id="517" name="Rectangle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SpPr/>
      </xdr:nvSpPr>
      <xdr:spPr>
        <a:xfrm>
          <a:off x="1779120" y="1321261"/>
          <a:ext cx="46226" cy="209141"/>
        </a:xfrm>
        <a:prstGeom prst="rect">
          <a:avLst/>
        </a:prstGeom>
        <a:solidFill>
          <a:srgbClr val="0071C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306388</xdr:colOff>
      <xdr:row>8</xdr:row>
      <xdr:rowOff>87600</xdr:rowOff>
    </xdr:from>
    <xdr:to>
      <xdr:col>2</xdr:col>
      <xdr:colOff>50649</xdr:colOff>
      <xdr:row>10</xdr:row>
      <xdr:rowOff>106850</xdr:rowOff>
    </xdr:to>
    <xdr:sp macro="" textlink="">
      <xdr:nvSpPr>
        <xdr:cNvPr id="521" name="ZoneTexte 520">
          <a:hlinkClick xmlns:r="http://schemas.openxmlformats.org/officeDocument/2006/relationships" r:id="rId5" tooltip="Go To Statut Global"/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SpPr txBox="1"/>
      </xdr:nvSpPr>
      <xdr:spPr>
        <a:xfrm>
          <a:off x="306388" y="1770350"/>
          <a:ext cx="1433361" cy="387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Clients</a:t>
          </a:r>
        </a:p>
      </xdr:txBody>
    </xdr:sp>
    <xdr:clientData/>
  </xdr:twoCellAnchor>
  <xdr:twoCellAnchor editAs="oneCell">
    <xdr:from>
      <xdr:col>0</xdr:col>
      <xdr:colOff>95250</xdr:colOff>
      <xdr:row>8</xdr:row>
      <xdr:rowOff>95608</xdr:rowOff>
    </xdr:from>
    <xdr:to>
      <xdr:col>0</xdr:col>
      <xdr:colOff>301626</xdr:colOff>
      <xdr:row>9</xdr:row>
      <xdr:rowOff>100492</xdr:rowOff>
    </xdr:to>
    <xdr:pic>
      <xdr:nvPicPr>
        <xdr:cNvPr id="529" name="Image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95250" y="1778358"/>
          <a:ext cx="206376" cy="204336"/>
        </a:xfrm>
        <a:prstGeom prst="rect">
          <a:avLst/>
        </a:prstGeom>
      </xdr:spPr>
    </xdr:pic>
    <xdr:clientData/>
  </xdr:twoCellAnchor>
  <xdr:twoCellAnchor>
    <xdr:from>
      <xdr:col>0</xdr:col>
      <xdr:colOff>41778</xdr:colOff>
      <xdr:row>2</xdr:row>
      <xdr:rowOff>108619</xdr:rowOff>
    </xdr:from>
    <xdr:to>
      <xdr:col>1</xdr:col>
      <xdr:colOff>835528</xdr:colOff>
      <xdr:row>4</xdr:row>
      <xdr:rowOff>33422</xdr:rowOff>
    </xdr:to>
    <xdr:sp macro="" textlink="">
      <xdr:nvSpPr>
        <xdr:cNvPr id="572" name="ZoneTexte 571">
          <a:extLs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SpPr txBox="1"/>
      </xdr:nvSpPr>
      <xdr:spPr>
        <a:xfrm>
          <a:off x="41778" y="476919"/>
          <a:ext cx="1409700" cy="2931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>
              <a:solidFill>
                <a:srgbClr val="0071C2"/>
              </a:solidFill>
              <a:latin typeface="Arial" panose="020B0604020202020204" pitchFamily="34" charset="0"/>
              <a:cs typeface="Arial" panose="020B0604020202020204" pitchFamily="34" charset="0"/>
            </a:rPr>
            <a:t>Tableau de Bord</a:t>
          </a:r>
        </a:p>
      </xdr:txBody>
    </xdr:sp>
    <xdr:clientData/>
  </xdr:twoCellAnchor>
  <xdr:twoCellAnchor>
    <xdr:from>
      <xdr:col>0</xdr:col>
      <xdr:colOff>174625</xdr:colOff>
      <xdr:row>10</xdr:row>
      <xdr:rowOff>127000</xdr:rowOff>
    </xdr:from>
    <xdr:to>
      <xdr:col>1</xdr:col>
      <xdr:colOff>976313</xdr:colOff>
      <xdr:row>10</xdr:row>
      <xdr:rowOff>127000</xdr:rowOff>
    </xdr:to>
    <xdr:cxnSp macro="">
      <xdr:nvCxnSpPr>
        <xdr:cNvPr id="583" name="Connecteur droit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CxnSpPr/>
      </xdr:nvCxnSpPr>
      <xdr:spPr>
        <a:xfrm>
          <a:off x="174625" y="2178050"/>
          <a:ext cx="1417638" cy="0"/>
        </a:xfrm>
        <a:prstGeom prst="line">
          <a:avLst/>
        </a:prstGeom>
        <a:ln w="12700"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730038</xdr:colOff>
      <xdr:row>2</xdr:row>
      <xdr:rowOff>53145</xdr:rowOff>
    </xdr:from>
    <xdr:to>
      <xdr:col>18</xdr:col>
      <xdr:colOff>89684</xdr:colOff>
      <xdr:row>5</xdr:row>
      <xdr:rowOff>32058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ollaborateurs 4">
              <a:extLst>
                <a:ext uri="{FF2B5EF4-FFF2-40B4-BE49-F238E27FC236}">
                  <a16:creationId xmlns:a16="http://schemas.microsoft.com/office/drawing/2014/main" id="{70C9B25A-A2DF-0B25-689C-0F119457AD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laborateurs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11612" y="429441"/>
              <a:ext cx="8814091" cy="543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441739</xdr:colOff>
      <xdr:row>2</xdr:row>
      <xdr:rowOff>143919</xdr:rowOff>
    </xdr:from>
    <xdr:to>
      <xdr:col>2</xdr:col>
      <xdr:colOff>692770</xdr:colOff>
      <xdr:row>4</xdr:row>
      <xdr:rowOff>27410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D8086E04-FDAE-C736-D16B-CEC10A7D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2027" y="509387"/>
          <a:ext cx="251031" cy="248958"/>
        </a:xfrm>
        <a:prstGeom prst="rect">
          <a:avLst/>
        </a:prstGeom>
      </xdr:spPr>
    </xdr:pic>
    <xdr:clientData/>
  </xdr:twoCellAnchor>
  <xdr:twoCellAnchor>
    <xdr:from>
      <xdr:col>2</xdr:col>
      <xdr:colOff>476114</xdr:colOff>
      <xdr:row>4</xdr:row>
      <xdr:rowOff>74340</xdr:rowOff>
    </xdr:from>
    <xdr:to>
      <xdr:col>21</xdr:col>
      <xdr:colOff>79375</xdr:colOff>
      <xdr:row>26</xdr:row>
      <xdr:rowOff>142875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B146755A-00EA-F791-E8DD-C8D3E3D59ED9}"/>
            </a:ext>
          </a:extLst>
        </xdr:cNvPr>
        <xdr:cNvGrpSpPr/>
      </xdr:nvGrpSpPr>
      <xdr:grpSpPr>
        <a:xfrm>
          <a:off x="2169447" y="815173"/>
          <a:ext cx="9869095" cy="4619369"/>
          <a:chOff x="2166802" y="804590"/>
          <a:chExt cx="9458294" cy="4251845"/>
        </a:xfrm>
      </xdr:grpSpPr>
      <xdr:grpSp>
        <xdr:nvGrpSpPr>
          <xdr:cNvPr id="705" name="Groupe 704">
            <a:extLst>
              <a:ext uri="{FF2B5EF4-FFF2-40B4-BE49-F238E27FC236}">
                <a16:creationId xmlns:a16="http://schemas.microsoft.com/office/drawing/2014/main" id="{00000000-0008-0000-0100-0000C1020000}"/>
              </a:ext>
            </a:extLst>
          </xdr:cNvPr>
          <xdr:cNvGrpSpPr/>
        </xdr:nvGrpSpPr>
        <xdr:grpSpPr>
          <a:xfrm>
            <a:off x="2166802" y="4260888"/>
            <a:ext cx="9035752" cy="795547"/>
            <a:chOff x="2142515" y="6627702"/>
            <a:chExt cx="8693512" cy="917758"/>
          </a:xfrm>
        </xdr:grpSpPr>
        <xdr:grpSp>
          <xdr:nvGrpSpPr>
            <xdr:cNvPr id="706" name="Groupe 705">
              <a:extLst>
                <a:ext uri="{FF2B5EF4-FFF2-40B4-BE49-F238E27FC236}">
                  <a16:creationId xmlns:a16="http://schemas.microsoft.com/office/drawing/2014/main" id="{00000000-0008-0000-0100-0000C2020000}"/>
                </a:ext>
              </a:extLst>
            </xdr:cNvPr>
            <xdr:cNvGrpSpPr/>
          </xdr:nvGrpSpPr>
          <xdr:grpSpPr>
            <a:xfrm>
              <a:off x="2142515" y="6627702"/>
              <a:ext cx="4215423" cy="917758"/>
              <a:chOff x="2142515" y="6622940"/>
              <a:chExt cx="4215423" cy="917758"/>
            </a:xfrm>
          </xdr:grpSpPr>
          <xdr:sp macro="" textlink="">
            <xdr:nvSpPr>
              <xdr:cNvPr id="711" name="Rectangle : coins arrondis 710">
                <a:extLst>
                  <a:ext uri="{FF2B5EF4-FFF2-40B4-BE49-F238E27FC236}">
                    <a16:creationId xmlns:a16="http://schemas.microsoft.com/office/drawing/2014/main" id="{00000000-0008-0000-0100-0000C7020000}"/>
                  </a:ext>
                </a:extLst>
              </xdr:cNvPr>
              <xdr:cNvSpPr/>
            </xdr:nvSpPr>
            <xdr:spPr>
              <a:xfrm>
                <a:off x="2142515" y="6622940"/>
                <a:ext cx="4215423" cy="743383"/>
              </a:xfrm>
              <a:prstGeom prst="roundRect">
                <a:avLst/>
              </a:prstGeom>
              <a:solidFill>
                <a:schemeClr val="accent5">
                  <a:lumMod val="40000"/>
                  <a:lumOff val="60000"/>
                </a:schemeClr>
              </a:solidFill>
              <a:ln>
                <a:solidFill>
                  <a:srgbClr val="0071C2"/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fr-FR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712" name="ZoneTexte 711">
                <a:extLst>
                  <a:ext uri="{FF2B5EF4-FFF2-40B4-BE49-F238E27FC236}">
                    <a16:creationId xmlns:a16="http://schemas.microsoft.com/office/drawing/2014/main" id="{00000000-0008-0000-0100-0000C8020000}"/>
                  </a:ext>
                </a:extLst>
              </xdr:cNvPr>
              <xdr:cNvSpPr txBox="1"/>
            </xdr:nvSpPr>
            <xdr:spPr>
              <a:xfrm>
                <a:off x="3321402" y="6748791"/>
                <a:ext cx="2665169" cy="73025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fr-FR" sz="2000" b="1"/>
                  <a:t>268</a:t>
                </a:r>
                <a:r>
                  <a:rPr lang="fr-FR" sz="2800"/>
                  <a:t> </a:t>
                </a:r>
                <a:r>
                  <a:rPr lang="fr-FR" sz="1400">
                    <a:solidFill>
                      <a:schemeClr val="bg2">
                        <a:lumMod val="75000"/>
                      </a:schemeClr>
                    </a:solidFill>
                  </a:rPr>
                  <a:t>tâches</a:t>
                </a:r>
                <a:endParaRPr lang="fr-FR" sz="2800">
                  <a:solidFill>
                    <a:schemeClr val="bg2">
                      <a:lumMod val="75000"/>
                    </a:schemeClr>
                  </a:solidFill>
                </a:endParaRPr>
              </a:p>
            </xdr:txBody>
          </xdr:sp>
          <xdr:sp macro="" textlink="">
            <xdr:nvSpPr>
              <xdr:cNvPr id="713" name="ZoneTexte 712">
                <a:extLst>
                  <a:ext uri="{FF2B5EF4-FFF2-40B4-BE49-F238E27FC236}">
                    <a16:creationId xmlns:a16="http://schemas.microsoft.com/office/drawing/2014/main" id="{00000000-0008-0000-0100-0000C9020000}"/>
                  </a:ext>
                </a:extLst>
              </xdr:cNvPr>
              <xdr:cNvSpPr txBox="1"/>
            </xdr:nvSpPr>
            <xdr:spPr>
              <a:xfrm>
                <a:off x="2341563" y="6683375"/>
                <a:ext cx="1315360" cy="85732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400" b="1">
                    <a:solidFill>
                      <a:srgbClr val="0070C0"/>
                    </a:solidFill>
                  </a:rPr>
                  <a:t>Total TAF</a:t>
                </a:r>
                <a:r>
                  <a:rPr lang="fr-FR" sz="1400" b="1" baseline="0">
                    <a:solidFill>
                      <a:srgbClr val="0070C0"/>
                    </a:solidFill>
                  </a:rPr>
                  <a:t> en Qte</a:t>
                </a:r>
                <a:endParaRPr lang="fr-FR" sz="1400" b="1">
                  <a:solidFill>
                    <a:srgbClr val="0070C0"/>
                  </a:solidFill>
                </a:endParaRPr>
              </a:p>
            </xdr:txBody>
          </xdr:sp>
        </xdr:grpSp>
        <xdr:grpSp>
          <xdr:nvGrpSpPr>
            <xdr:cNvPr id="707" name="Groupe 706">
              <a:extLst>
                <a:ext uri="{FF2B5EF4-FFF2-40B4-BE49-F238E27FC236}">
                  <a16:creationId xmlns:a16="http://schemas.microsoft.com/office/drawing/2014/main" id="{00000000-0008-0000-0100-0000C3020000}"/>
                </a:ext>
              </a:extLst>
            </xdr:cNvPr>
            <xdr:cNvGrpSpPr/>
          </xdr:nvGrpSpPr>
          <xdr:grpSpPr>
            <a:xfrm>
              <a:off x="6620604" y="6636879"/>
              <a:ext cx="4215423" cy="908580"/>
              <a:chOff x="2134329" y="6632117"/>
              <a:chExt cx="4215423" cy="908580"/>
            </a:xfrm>
          </xdr:grpSpPr>
          <xdr:sp macro="" textlink="">
            <xdr:nvSpPr>
              <xdr:cNvPr id="708" name="Rectangle : coins arrondis 707">
                <a:extLst>
                  <a:ext uri="{FF2B5EF4-FFF2-40B4-BE49-F238E27FC236}">
                    <a16:creationId xmlns:a16="http://schemas.microsoft.com/office/drawing/2014/main" id="{00000000-0008-0000-0100-0000C4020000}"/>
                  </a:ext>
                </a:extLst>
              </xdr:cNvPr>
              <xdr:cNvSpPr/>
            </xdr:nvSpPr>
            <xdr:spPr>
              <a:xfrm>
                <a:off x="2134329" y="6632117"/>
                <a:ext cx="4215423" cy="752559"/>
              </a:xfrm>
              <a:prstGeom prst="roundRect">
                <a:avLst/>
              </a:prstGeom>
              <a:solidFill>
                <a:schemeClr val="accent5">
                  <a:lumMod val="40000"/>
                  <a:lumOff val="60000"/>
                </a:schemeClr>
              </a:solidFill>
              <a:ln>
                <a:solidFill>
                  <a:srgbClr val="0071C2"/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fr-FR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709" name="ZoneTexte 708">
                <a:extLst>
                  <a:ext uri="{FF2B5EF4-FFF2-40B4-BE49-F238E27FC236}">
                    <a16:creationId xmlns:a16="http://schemas.microsoft.com/office/drawing/2014/main" id="{00000000-0008-0000-0100-0000C5020000}"/>
                  </a:ext>
                </a:extLst>
              </xdr:cNvPr>
              <xdr:cNvSpPr txBox="1"/>
            </xdr:nvSpPr>
            <xdr:spPr>
              <a:xfrm>
                <a:off x="3416974" y="6736638"/>
                <a:ext cx="2665169" cy="73025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fr-FR" sz="2000" b="1"/>
                  <a:t>16M</a:t>
                </a:r>
                <a:r>
                  <a:rPr lang="fr-FR" sz="2800"/>
                  <a:t> </a:t>
                </a:r>
                <a:r>
                  <a:rPr lang="fr-FR" sz="1400">
                    <a:solidFill>
                      <a:schemeClr val="bg2">
                        <a:lumMod val="75000"/>
                      </a:schemeClr>
                    </a:solidFill>
                  </a:rPr>
                  <a:t>DH</a:t>
                </a:r>
                <a:endParaRPr lang="fr-FR" sz="2800">
                  <a:solidFill>
                    <a:schemeClr val="bg2">
                      <a:lumMod val="75000"/>
                    </a:schemeClr>
                  </a:solidFill>
                </a:endParaRPr>
              </a:p>
            </xdr:txBody>
          </xdr:sp>
          <xdr:sp macro="" textlink="">
            <xdr:nvSpPr>
              <xdr:cNvPr id="710" name="ZoneTexte 709">
                <a:extLst>
                  <a:ext uri="{FF2B5EF4-FFF2-40B4-BE49-F238E27FC236}">
                    <a16:creationId xmlns:a16="http://schemas.microsoft.com/office/drawing/2014/main" id="{00000000-0008-0000-0100-0000C6020000}"/>
                  </a:ext>
                </a:extLst>
              </xdr:cNvPr>
              <xdr:cNvSpPr txBox="1"/>
            </xdr:nvSpPr>
            <xdr:spPr>
              <a:xfrm>
                <a:off x="2341563" y="6683375"/>
                <a:ext cx="1490662" cy="85732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400" b="1">
                    <a:solidFill>
                      <a:srgbClr val="0070C0"/>
                    </a:solidFill>
                  </a:rPr>
                  <a:t>Total Volume</a:t>
                </a:r>
                <a:r>
                  <a:rPr lang="fr-FR" sz="1400" b="1" baseline="0">
                    <a:solidFill>
                      <a:srgbClr val="0070C0"/>
                    </a:solidFill>
                  </a:rPr>
                  <a:t> en DH</a:t>
                </a:r>
                <a:endParaRPr lang="fr-FR" sz="1400" b="1">
                  <a:solidFill>
                    <a:srgbClr val="0070C0"/>
                  </a:solidFill>
                </a:endParaRPr>
              </a:p>
            </xdr:txBody>
          </xdr:sp>
        </xdr:grpSp>
      </xdr:grpSp>
      <xdr:grpSp>
        <xdr:nvGrpSpPr>
          <xdr:cNvPr id="102" name="Groupe 101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GrpSpPr/>
        </xdr:nvGrpSpPr>
        <xdr:grpSpPr>
          <a:xfrm>
            <a:off x="2201833" y="804590"/>
            <a:ext cx="9423263" cy="3446871"/>
            <a:chOff x="2036761" y="766463"/>
            <a:chExt cx="9032562" cy="3441409"/>
          </a:xfrm>
        </xdr:grpSpPr>
        <xdr:sp macro="" textlink="">
          <xdr:nvSpPr>
            <xdr:cNvPr id="585" name="ZoneTexte 584">
              <a:extLst>
                <a:ext uri="{FF2B5EF4-FFF2-40B4-BE49-F238E27FC236}">
                  <a16:creationId xmlns:a16="http://schemas.microsoft.com/office/drawing/2014/main" id="{00000000-0008-0000-0100-000049020000}"/>
                </a:ext>
              </a:extLst>
            </xdr:cNvPr>
            <xdr:cNvSpPr txBox="1"/>
          </xdr:nvSpPr>
          <xdr:spPr>
            <a:xfrm>
              <a:off x="9021035" y="787950"/>
              <a:ext cx="695537" cy="2016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 b="1">
                  <a:solidFill>
                    <a:schemeClr val="tx1"/>
                  </a:solidFill>
                </a:rPr>
                <a:t>Taux NB</a:t>
              </a:r>
            </a:p>
          </xdr:txBody>
        </xdr:sp>
        <xdr:sp macro="" textlink="">
          <xdr:nvSpPr>
            <xdr:cNvPr id="586" name="ZoneTexte 585">
              <a:extLst>
                <a:ext uri="{FF2B5EF4-FFF2-40B4-BE49-F238E27FC236}">
                  <a16:creationId xmlns:a16="http://schemas.microsoft.com/office/drawing/2014/main" id="{00000000-0008-0000-0100-00004A020000}"/>
                </a:ext>
              </a:extLst>
            </xdr:cNvPr>
            <xdr:cNvSpPr txBox="1"/>
          </xdr:nvSpPr>
          <xdr:spPr>
            <a:xfrm>
              <a:off x="9985773" y="766463"/>
              <a:ext cx="860366" cy="18484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100" b="1">
                  <a:solidFill>
                    <a:schemeClr val="tx1"/>
                  </a:solidFill>
                </a:rPr>
                <a:t>Taux DH</a:t>
              </a:r>
            </a:p>
          </xdr:txBody>
        </xdr:sp>
        <xdr:grpSp>
          <xdr:nvGrpSpPr>
            <xdr:cNvPr id="695" name="Groupe 694">
              <a:extLst>
                <a:ext uri="{FF2B5EF4-FFF2-40B4-BE49-F238E27FC236}">
                  <a16:creationId xmlns:a16="http://schemas.microsoft.com/office/drawing/2014/main" id="{00000000-0008-0000-0100-0000B7020000}"/>
                </a:ext>
              </a:extLst>
            </xdr:cNvPr>
            <xdr:cNvGrpSpPr/>
          </xdr:nvGrpSpPr>
          <xdr:grpSpPr>
            <a:xfrm>
              <a:off x="8651302" y="902678"/>
              <a:ext cx="2398157" cy="1055232"/>
              <a:chOff x="8658358" y="869027"/>
              <a:chExt cx="2403584" cy="1066087"/>
            </a:xfrm>
          </xdr:grpSpPr>
          <xdr:graphicFrame macro="">
            <xdr:nvGraphicFramePr>
              <xdr:cNvPr id="641" name="Graphique 640">
                <a:extLst>
                  <a:ext uri="{FF2B5EF4-FFF2-40B4-BE49-F238E27FC236}">
                    <a16:creationId xmlns:a16="http://schemas.microsoft.com/office/drawing/2014/main" id="{00000000-0008-0000-0100-000081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561216" y="869027"/>
              <a:ext cx="1500726" cy="106608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9"/>
              </a:graphicData>
            </a:graphic>
          </xdr:graphicFrame>
          <xdr:graphicFrame macro="">
            <xdr:nvGraphicFramePr>
              <xdr:cNvPr id="610" name="Graphique 609">
                <a:extLst>
                  <a:ext uri="{FF2B5EF4-FFF2-40B4-BE49-F238E27FC236}">
                    <a16:creationId xmlns:a16="http://schemas.microsoft.com/office/drawing/2014/main" id="{00000000-0008-0000-0100-000062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658358" y="869448"/>
              <a:ext cx="1450193" cy="103803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0"/>
              </a:graphicData>
            </a:graphic>
          </xdr:graphicFrame>
        </xdr:grpSp>
        <xdr:grpSp>
          <xdr:nvGrpSpPr>
            <xdr:cNvPr id="696" name="Groupe 695">
              <a:extLst>
                <a:ext uri="{FF2B5EF4-FFF2-40B4-BE49-F238E27FC236}">
                  <a16:creationId xmlns:a16="http://schemas.microsoft.com/office/drawing/2014/main" id="{00000000-0008-0000-0100-0000B8020000}"/>
                </a:ext>
              </a:extLst>
            </xdr:cNvPr>
            <xdr:cNvGrpSpPr/>
          </xdr:nvGrpSpPr>
          <xdr:grpSpPr>
            <a:xfrm>
              <a:off x="8665304" y="2396499"/>
              <a:ext cx="2398157" cy="1043835"/>
              <a:chOff x="8658358" y="869027"/>
              <a:chExt cx="2403584" cy="1066087"/>
            </a:xfrm>
          </xdr:grpSpPr>
          <xdr:graphicFrame macro="">
            <xdr:nvGraphicFramePr>
              <xdr:cNvPr id="697" name="Graphique 696">
                <a:extLst>
                  <a:ext uri="{FF2B5EF4-FFF2-40B4-BE49-F238E27FC236}">
                    <a16:creationId xmlns:a16="http://schemas.microsoft.com/office/drawing/2014/main" id="{00000000-0008-0000-0100-0000B9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561216" y="869027"/>
              <a:ext cx="1500726" cy="106608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"/>
              </a:graphicData>
            </a:graphic>
          </xdr:graphicFrame>
          <xdr:graphicFrame macro="">
            <xdr:nvGraphicFramePr>
              <xdr:cNvPr id="698" name="Graphique 697">
                <a:extLst>
                  <a:ext uri="{FF2B5EF4-FFF2-40B4-BE49-F238E27FC236}">
                    <a16:creationId xmlns:a16="http://schemas.microsoft.com/office/drawing/2014/main" id="{00000000-0008-0000-0100-0000BA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658358" y="869448"/>
              <a:ext cx="1450193" cy="103803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</xdr:grpSp>
        <xdr:grpSp>
          <xdr:nvGrpSpPr>
            <xdr:cNvPr id="699" name="Groupe 698">
              <a:extLst>
                <a:ext uri="{FF2B5EF4-FFF2-40B4-BE49-F238E27FC236}">
                  <a16:creationId xmlns:a16="http://schemas.microsoft.com/office/drawing/2014/main" id="{00000000-0008-0000-0100-0000BB020000}"/>
                </a:ext>
              </a:extLst>
            </xdr:cNvPr>
            <xdr:cNvGrpSpPr/>
          </xdr:nvGrpSpPr>
          <xdr:grpSpPr>
            <a:xfrm>
              <a:off x="8671166" y="3164579"/>
              <a:ext cx="2398157" cy="1043293"/>
              <a:chOff x="8658358" y="869027"/>
              <a:chExt cx="2403584" cy="1066087"/>
            </a:xfrm>
          </xdr:grpSpPr>
          <xdr:graphicFrame macro="">
            <xdr:nvGraphicFramePr>
              <xdr:cNvPr id="700" name="Graphique 699">
                <a:extLst>
                  <a:ext uri="{FF2B5EF4-FFF2-40B4-BE49-F238E27FC236}">
                    <a16:creationId xmlns:a16="http://schemas.microsoft.com/office/drawing/2014/main" id="{00000000-0008-0000-0100-0000BC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561216" y="869027"/>
              <a:ext cx="1500726" cy="106608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3"/>
              </a:graphicData>
            </a:graphic>
          </xdr:graphicFrame>
          <xdr:graphicFrame macro="">
            <xdr:nvGraphicFramePr>
              <xdr:cNvPr id="701" name="Graphique 700">
                <a:extLst>
                  <a:ext uri="{FF2B5EF4-FFF2-40B4-BE49-F238E27FC236}">
                    <a16:creationId xmlns:a16="http://schemas.microsoft.com/office/drawing/2014/main" id="{00000000-0008-0000-0100-0000BD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658358" y="869448"/>
              <a:ext cx="1450193" cy="103803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</xdr:grpSp>
        <xdr:grpSp>
          <xdr:nvGrpSpPr>
            <xdr:cNvPr id="702" name="Groupe 701">
              <a:extLst>
                <a:ext uri="{FF2B5EF4-FFF2-40B4-BE49-F238E27FC236}">
                  <a16:creationId xmlns:a16="http://schemas.microsoft.com/office/drawing/2014/main" id="{00000000-0008-0000-0100-0000BE020000}"/>
                </a:ext>
              </a:extLst>
            </xdr:cNvPr>
            <xdr:cNvGrpSpPr/>
          </xdr:nvGrpSpPr>
          <xdr:grpSpPr>
            <a:xfrm>
              <a:off x="8665305" y="1633306"/>
              <a:ext cx="2398157" cy="1055775"/>
              <a:chOff x="8658358" y="869027"/>
              <a:chExt cx="2403584" cy="1066087"/>
            </a:xfrm>
          </xdr:grpSpPr>
          <xdr:graphicFrame macro="">
            <xdr:nvGraphicFramePr>
              <xdr:cNvPr id="703" name="Graphique 702">
                <a:extLst>
                  <a:ext uri="{FF2B5EF4-FFF2-40B4-BE49-F238E27FC236}">
                    <a16:creationId xmlns:a16="http://schemas.microsoft.com/office/drawing/2014/main" id="{00000000-0008-0000-0100-0000BF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561216" y="869027"/>
              <a:ext cx="1500726" cy="106608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5"/>
              </a:graphicData>
            </a:graphic>
          </xdr:graphicFrame>
          <xdr:graphicFrame macro="">
            <xdr:nvGraphicFramePr>
              <xdr:cNvPr id="704" name="Graphique 703">
                <a:extLst>
                  <a:ext uri="{FF2B5EF4-FFF2-40B4-BE49-F238E27FC236}">
                    <a16:creationId xmlns:a16="http://schemas.microsoft.com/office/drawing/2014/main" id="{00000000-0008-0000-0100-0000C002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658358" y="869448"/>
              <a:ext cx="1450193" cy="103803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6"/>
              </a:graphicData>
            </a:graphic>
          </xdr:graphicFrame>
        </xdr:grpSp>
        <xdr:grpSp>
          <xdr:nvGrpSpPr>
            <xdr:cNvPr id="653" name="Groupe 652">
              <a:extLst>
                <a:ext uri="{FF2B5EF4-FFF2-40B4-BE49-F238E27FC236}">
                  <a16:creationId xmlns:a16="http://schemas.microsoft.com/office/drawing/2014/main" id="{00000000-0008-0000-0100-00008D020000}"/>
                </a:ext>
              </a:extLst>
            </xdr:cNvPr>
            <xdr:cNvGrpSpPr/>
          </xdr:nvGrpSpPr>
          <xdr:grpSpPr>
            <a:xfrm>
              <a:off x="2036761" y="1072498"/>
              <a:ext cx="6572974" cy="617658"/>
              <a:chOff x="2077291" y="1027824"/>
              <a:chExt cx="6560523" cy="619712"/>
            </a:xfrm>
          </xdr:grpSpPr>
          <xdr:grpSp>
            <xdr:nvGrpSpPr>
              <xdr:cNvPr id="639" name="Groupe 638">
                <a:extLst>
                  <a:ext uri="{FF2B5EF4-FFF2-40B4-BE49-F238E27FC236}">
                    <a16:creationId xmlns:a16="http://schemas.microsoft.com/office/drawing/2014/main" id="{00000000-0008-0000-0100-00007F020000}"/>
                  </a:ext>
                </a:extLst>
              </xdr:cNvPr>
              <xdr:cNvGrpSpPr/>
            </xdr:nvGrpSpPr>
            <xdr:grpSpPr>
              <a:xfrm>
                <a:off x="2077291" y="1027824"/>
                <a:ext cx="6560523" cy="619712"/>
                <a:chOff x="1945708" y="1443631"/>
                <a:chExt cx="6793830" cy="600865"/>
              </a:xfrm>
            </xdr:grpSpPr>
            <xdr:sp macro="" textlink="">
              <xdr:nvSpPr>
                <xdr:cNvPr id="642" name="ZoneTexte 641">
                  <a:extLst>
                    <a:ext uri="{FF2B5EF4-FFF2-40B4-BE49-F238E27FC236}">
                      <a16:creationId xmlns:a16="http://schemas.microsoft.com/office/drawing/2014/main" id="{00000000-0008-0000-0100-000082020000}"/>
                    </a:ext>
                  </a:extLst>
                </xdr:cNvPr>
                <xdr:cNvSpPr txBox="1"/>
              </xdr:nvSpPr>
              <xdr:spPr>
                <a:xfrm>
                  <a:off x="2618257" y="1697731"/>
                  <a:ext cx="643070" cy="28503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/>
                  <a:r>
                    <a:rPr lang="fr-FR" sz="1400" b="1">
                      <a:solidFill>
                        <a:srgbClr val="FF5353"/>
                      </a:solidFill>
                      <a:latin typeface="+mn-lt"/>
                      <a:ea typeface="+mn-ea"/>
                      <a:cs typeface="+mn-cs"/>
                    </a:rPr>
                    <a:t> -9 </a:t>
                  </a:r>
                </a:p>
              </xdr:txBody>
            </xdr:sp>
            <xdr:grpSp>
              <xdr:nvGrpSpPr>
                <xdr:cNvPr id="643" name="Groupe 642">
                  <a:extLst>
                    <a:ext uri="{FF2B5EF4-FFF2-40B4-BE49-F238E27FC236}">
                      <a16:creationId xmlns:a16="http://schemas.microsoft.com/office/drawing/2014/main" id="{00000000-0008-0000-0100-000083020000}"/>
                    </a:ext>
                  </a:extLst>
                </xdr:cNvPr>
                <xdr:cNvGrpSpPr/>
              </xdr:nvGrpSpPr>
              <xdr:grpSpPr>
                <a:xfrm>
                  <a:off x="1945708" y="1443631"/>
                  <a:ext cx="6793830" cy="600865"/>
                  <a:chOff x="1945508" y="1452114"/>
                  <a:chExt cx="6777040" cy="599480"/>
                </a:xfrm>
              </xdr:grpSpPr>
              <xdr:grpSp>
                <xdr:nvGrpSpPr>
                  <xdr:cNvPr id="648" name="Groupe 647">
                    <a:extLst>
                      <a:ext uri="{FF2B5EF4-FFF2-40B4-BE49-F238E27FC236}">
                        <a16:creationId xmlns:a16="http://schemas.microsoft.com/office/drawing/2014/main" id="{00000000-0008-0000-0100-000088020000}"/>
                      </a:ext>
                    </a:extLst>
                  </xdr:cNvPr>
                  <xdr:cNvGrpSpPr/>
                </xdr:nvGrpSpPr>
                <xdr:grpSpPr>
                  <a:xfrm>
                    <a:off x="1945508" y="1452114"/>
                    <a:ext cx="6777040" cy="599480"/>
                    <a:chOff x="2018182" y="1452114"/>
                    <a:chExt cx="3087689" cy="599480"/>
                  </a:xfrm>
                </xdr:grpSpPr>
                <xdr:sp macro="" textlink="">
                  <xdr:nvSpPr>
                    <xdr:cNvPr id="650" name="TextBox 31">
                      <a:extLst>
                        <a:ext uri="{FF2B5EF4-FFF2-40B4-BE49-F238E27FC236}">
                          <a16:creationId xmlns:a16="http://schemas.microsoft.com/office/drawing/2014/main" id="{00000000-0008-0000-0100-00008A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50577" y="1516026"/>
                      <a:ext cx="1016233" cy="16708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l"/>
                      <a:r>
                        <a:rPr lang="en-CA" sz="1100" b="1">
                          <a:solidFill>
                            <a:srgbClr val="FF0000"/>
                          </a:solidFill>
                          <a:latin typeface="+mn-lt"/>
                          <a:ea typeface="+mn-ea"/>
                          <a:cs typeface="+mn-cs"/>
                        </a:rPr>
                        <a:t>Actes à</a:t>
                      </a:r>
                      <a:r>
                        <a:rPr lang="en-CA" sz="1100" b="1" baseline="0">
                          <a:solidFill>
                            <a:srgbClr val="FF0000"/>
                          </a:solidFill>
                          <a:latin typeface="+mn-lt"/>
                          <a:ea typeface="+mn-ea"/>
                          <a:cs typeface="+mn-cs"/>
                        </a:rPr>
                        <a:t> renouveller en retard</a:t>
                      </a:r>
                      <a:endParaRPr lang="en-CA" sz="1100" b="1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651" name="Rectangle : coins arrondis 650">
                      <a:extLst>
                        <a:ext uri="{FF2B5EF4-FFF2-40B4-BE49-F238E27FC236}">
                          <a16:creationId xmlns:a16="http://schemas.microsoft.com/office/drawing/2014/main" id="{00000000-0008-0000-0100-00008B020000}"/>
                        </a:ext>
                      </a:extLst>
                    </xdr:cNvPr>
                    <xdr:cNvSpPr/>
                  </xdr:nvSpPr>
                  <xdr:spPr>
                    <a:xfrm>
                      <a:off x="2018182" y="1452114"/>
                      <a:ext cx="3087689" cy="599480"/>
                    </a:xfrm>
                    <a:prstGeom prst="roundRect">
                      <a:avLst/>
                    </a:prstGeom>
                    <a:noFill/>
                    <a:ln>
                      <a:solidFill>
                        <a:srgbClr val="0071C2"/>
                      </a:solidFill>
                    </a:ln>
                    <a:effectLst>
                      <a:outerShdw blurRad="50800" dist="38100" dir="5400000" algn="t" rotWithShape="0">
                        <a:prstClr val="black">
                          <a:alpha val="40000"/>
                        </a:prstClr>
                      </a:outerShdw>
                    </a:effectLst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indent="0" algn="l"/>
                      <a:endParaRPr lang="fr-FR"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2" name="TextBox 31">
                      <a:extLst>
                        <a:ext uri="{FF2B5EF4-FFF2-40B4-BE49-F238E27FC236}">
                          <a16:creationId xmlns:a16="http://schemas.microsoft.com/office/drawing/2014/main" id="{00000000-0008-0000-0100-000002000000}"/>
                        </a:ext>
                      </a:extLst>
                    </xdr:cNvPr>
                    <xdr:cNvSpPr txBox="1"/>
                  </xdr:nvSpPr>
                  <xdr:spPr>
                    <a:xfrm>
                      <a:off x="3590535" y="1495997"/>
                      <a:ext cx="1055506" cy="20713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l"/>
                      <a:r>
                        <a:rPr lang="en-CA" sz="1100" b="1">
                          <a:solidFill>
                            <a:srgbClr val="0070C0"/>
                          </a:solidFill>
                          <a:latin typeface="+mn-lt"/>
                          <a:ea typeface="+mn-ea"/>
                          <a:cs typeface="+mn-cs"/>
                        </a:rPr>
                        <a:t>Actes à</a:t>
                      </a:r>
                      <a:r>
                        <a:rPr lang="en-CA" sz="1100" b="1" baseline="0">
                          <a:solidFill>
                            <a:srgbClr val="0070C0"/>
                          </a:solidFill>
                          <a:latin typeface="+mn-lt"/>
                          <a:ea typeface="+mn-ea"/>
                          <a:cs typeface="+mn-cs"/>
                        </a:rPr>
                        <a:t> renouveller mois en cours</a:t>
                      </a:r>
                      <a:endParaRPr lang="en-CA" sz="1100" b="1">
                        <a:solidFill>
                          <a:srgbClr val="0070C0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</xdr:grpSp>
              <xdr:cxnSp macro="">
                <xdr:nvCxnSpPr>
                  <xdr:cNvPr id="649" name="Connecteur droit 648">
                    <a:extLst>
                      <a:ext uri="{FF2B5EF4-FFF2-40B4-BE49-F238E27FC236}">
                        <a16:creationId xmlns:a16="http://schemas.microsoft.com/office/drawing/2014/main" id="{00000000-0008-0000-0100-000089020000}"/>
                      </a:ext>
                    </a:extLst>
                  </xdr:cNvPr>
                  <xdr:cNvCxnSpPr/>
                </xdr:nvCxnSpPr>
                <xdr:spPr>
                  <a:xfrm flipH="1">
                    <a:off x="5383359" y="1602993"/>
                    <a:ext cx="2049" cy="360617"/>
                  </a:xfrm>
                  <a:prstGeom prst="line">
                    <a:avLst/>
                  </a:prstGeom>
                  <a:ln w="9525">
                    <a:solidFill>
                      <a:schemeClr val="bg2">
                        <a:lumMod val="75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647" name="ZoneTexte 646">
                  <a:extLst>
                    <a:ext uri="{FF2B5EF4-FFF2-40B4-BE49-F238E27FC236}">
                      <a16:creationId xmlns:a16="http://schemas.microsoft.com/office/drawing/2014/main" id="{00000000-0008-0000-0100-000087020000}"/>
                    </a:ext>
                  </a:extLst>
                </xdr:cNvPr>
                <xdr:cNvSpPr txBox="1"/>
              </xdr:nvSpPr>
              <xdr:spPr>
                <a:xfrm>
                  <a:off x="3764932" y="1654213"/>
                  <a:ext cx="982390" cy="2902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r>
                    <a:rPr lang="fr-FR" sz="1600" b="1" baseline="0"/>
                    <a:t>3K</a:t>
                  </a:r>
                  <a:r>
                    <a:rPr lang="fr-FR" sz="1800" b="1" baseline="0"/>
                    <a:t> </a:t>
                  </a:r>
                  <a:r>
                    <a:rPr lang="fr-FR" sz="16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DH</a:t>
                  </a:r>
                  <a:r>
                    <a:rPr lang="fr-FR" sz="18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  </a:t>
                  </a:r>
                  <a:endParaRPr lang="fr-FR" sz="1800" b="0">
                    <a:solidFill>
                      <a:schemeClr val="bg2">
                        <a:lumMod val="50000"/>
                      </a:schemeClr>
                    </a:solidFill>
                  </a:endParaRPr>
                </a:p>
              </xdr:txBody>
            </xdr:sp>
            <xdr:pic>
              <xdr:nvPicPr>
                <xdr:cNvPr id="645" name="Image 644">
                  <a:extLst>
                    <a:ext uri="{FF2B5EF4-FFF2-40B4-BE49-F238E27FC236}">
                      <a16:creationId xmlns:a16="http://schemas.microsoft.com/office/drawing/2014/main" id="{00000000-0008-0000-0100-00008502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7">
                  <a:lum bright="70000" contrast="-70000"/>
                </a:blip>
                <a:stretch>
                  <a:fillRect/>
                </a:stretch>
              </xdr:blipFill>
              <xdr:spPr>
                <a:xfrm>
                  <a:off x="8257955" y="1605025"/>
                  <a:ext cx="354630" cy="354415"/>
                </a:xfrm>
                <a:prstGeom prst="rect">
                  <a:avLst/>
                </a:prstGeom>
              </xdr:spPr>
            </xdr:pic>
            <xdr:sp macro="" textlink="">
              <xdr:nvSpPr>
                <xdr:cNvPr id="3" name="ZoneTexte 2">
                  <a:extLst>
                    <a:ext uri="{FF2B5EF4-FFF2-40B4-BE49-F238E27FC236}">
                      <a16:creationId xmlns:a16="http://schemas.microsoft.com/office/drawing/2014/main" id="{00000000-0008-0000-0100-000003000000}"/>
                    </a:ext>
                  </a:extLst>
                </xdr:cNvPr>
                <xdr:cNvSpPr txBox="1"/>
              </xdr:nvSpPr>
              <xdr:spPr>
                <a:xfrm>
                  <a:off x="6860797" y="1631780"/>
                  <a:ext cx="982390" cy="2902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r>
                    <a:rPr lang="fr-FR" sz="1600" b="1"/>
                    <a:t>2.8</a:t>
                  </a:r>
                  <a:r>
                    <a:rPr lang="fr-FR" sz="1600" b="1" baseline="0"/>
                    <a:t>M</a:t>
                  </a:r>
                  <a:r>
                    <a:rPr lang="fr-FR" sz="1800" b="1" baseline="0"/>
                    <a:t> </a:t>
                  </a:r>
                  <a:r>
                    <a:rPr lang="fr-FR" sz="16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DH</a:t>
                  </a:r>
                  <a:r>
                    <a:rPr lang="fr-FR" sz="18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  </a:t>
                  </a:r>
                  <a:endParaRPr lang="fr-FR" sz="1800" b="0">
                    <a:solidFill>
                      <a:schemeClr val="bg2">
                        <a:lumMod val="50000"/>
                      </a:schemeClr>
                    </a:solidFill>
                  </a:endParaRPr>
                </a:p>
              </xdr:txBody>
            </xdr:sp>
          </xdr:grpSp>
          <xdr:sp macro="" textlink="">
            <xdr:nvSpPr>
              <xdr:cNvPr id="638" name="Triangle isocèle 637">
                <a:extLst>
                  <a:ext uri="{FF2B5EF4-FFF2-40B4-BE49-F238E27FC236}">
                    <a16:creationId xmlns:a16="http://schemas.microsoft.com/office/drawing/2014/main" id="{00000000-0008-0000-0100-00007E020000}"/>
                  </a:ext>
                </a:extLst>
              </xdr:cNvPr>
              <xdr:cNvSpPr/>
            </xdr:nvSpPr>
            <xdr:spPr>
              <a:xfrm>
                <a:off x="7888031" y="1369219"/>
                <a:ext cx="111047" cy="119683"/>
              </a:xfrm>
              <a:prstGeom prst="triangle">
                <a:avLst/>
              </a:prstGeom>
              <a:solidFill>
                <a:srgbClr val="FF0000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grpSp>
          <xdr:nvGrpSpPr>
            <xdr:cNvPr id="60" name="Groupe 59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GrpSpPr/>
          </xdr:nvGrpSpPr>
          <xdr:grpSpPr>
            <a:xfrm>
              <a:off x="2036761" y="1295460"/>
              <a:ext cx="6572974" cy="1180928"/>
              <a:chOff x="2041721" y="1288528"/>
              <a:chExt cx="6577165" cy="1178775"/>
            </a:xfrm>
          </xdr:grpSpPr>
          <xdr:sp macro="" textlink="">
            <xdr:nvSpPr>
              <xdr:cNvPr id="608" name="Triangle isocèle 607">
                <a:extLst>
                  <a:ext uri="{FF2B5EF4-FFF2-40B4-BE49-F238E27FC236}">
                    <a16:creationId xmlns:a16="http://schemas.microsoft.com/office/drawing/2014/main" id="{00000000-0008-0000-0100-000060020000}"/>
                  </a:ext>
                </a:extLst>
              </xdr:cNvPr>
              <xdr:cNvSpPr/>
            </xdr:nvSpPr>
            <xdr:spPr>
              <a:xfrm rot="10800000">
                <a:off x="7864197" y="2167424"/>
                <a:ext cx="110465" cy="117943"/>
              </a:xfrm>
              <a:prstGeom prst="triangle">
                <a:avLst/>
              </a:prstGeom>
              <a:solidFill>
                <a:srgbClr val="00B050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grpSp>
            <xdr:nvGrpSpPr>
              <xdr:cNvPr id="8" name="Groupe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2041721" y="1288528"/>
                <a:ext cx="6577165" cy="1178775"/>
                <a:chOff x="2079766" y="503114"/>
                <a:chExt cx="6562955" cy="1191133"/>
              </a:xfrm>
            </xdr:grpSpPr>
            <xdr:grpSp>
              <xdr:nvGrpSpPr>
                <xdr:cNvPr id="11" name="Groupe 10">
                  <a:extLst>
                    <a:ext uri="{FF2B5EF4-FFF2-40B4-BE49-F238E27FC236}">
                      <a16:creationId xmlns:a16="http://schemas.microsoft.com/office/drawing/2014/main" id="{00000000-0008-0000-0100-00000B000000}"/>
                    </a:ext>
                  </a:extLst>
                </xdr:cNvPr>
                <xdr:cNvGrpSpPr/>
              </xdr:nvGrpSpPr>
              <xdr:grpSpPr>
                <a:xfrm>
                  <a:off x="2079766" y="1075837"/>
                  <a:ext cx="6562955" cy="618410"/>
                  <a:chOff x="1945708" y="1443630"/>
                  <a:chExt cx="6793830" cy="600865"/>
                </a:xfrm>
              </xdr:grpSpPr>
              <xdr:sp macro="" textlink="">
                <xdr:nvSpPr>
                  <xdr:cNvPr id="19" name="ZoneTexte 18">
                    <a:extLst>
                      <a:ext uri="{FF2B5EF4-FFF2-40B4-BE49-F238E27FC236}">
                        <a16:creationId xmlns:a16="http://schemas.microsoft.com/office/drawing/2014/main" id="{00000000-0008-0000-0100-000013000000}"/>
                      </a:ext>
                    </a:extLst>
                  </xdr:cNvPr>
                  <xdr:cNvSpPr txBox="1"/>
                </xdr:nvSpPr>
                <xdr:spPr>
                  <a:xfrm>
                    <a:off x="2618257" y="1697731"/>
                    <a:ext cx="643070" cy="28503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/>
                    <a:r>
                      <a:rPr lang="fr-FR" sz="1400" b="1">
                        <a:solidFill>
                          <a:srgbClr val="FF5353"/>
                        </a:solidFill>
                        <a:latin typeface="+mn-lt"/>
                        <a:ea typeface="+mn-ea"/>
                        <a:cs typeface="+mn-cs"/>
                      </a:rPr>
                      <a:t> -9 </a:t>
                    </a:r>
                  </a:p>
                </xdr:txBody>
              </xdr:sp>
              <xdr:grpSp>
                <xdr:nvGrpSpPr>
                  <xdr:cNvPr id="20" name="Groupe 19">
                    <a:extLst>
                      <a:ext uri="{FF2B5EF4-FFF2-40B4-BE49-F238E27FC236}">
                        <a16:creationId xmlns:a16="http://schemas.microsoft.com/office/drawing/2014/main" id="{00000000-0008-0000-0100-000014000000}"/>
                      </a:ext>
                    </a:extLst>
                  </xdr:cNvPr>
                  <xdr:cNvGrpSpPr/>
                </xdr:nvGrpSpPr>
                <xdr:grpSpPr>
                  <a:xfrm>
                    <a:off x="1945708" y="1443630"/>
                    <a:ext cx="6793830" cy="600865"/>
                    <a:chOff x="1945508" y="1452113"/>
                    <a:chExt cx="6777040" cy="599480"/>
                  </a:xfrm>
                </xdr:grpSpPr>
                <xdr:grpSp>
                  <xdr:nvGrpSpPr>
                    <xdr:cNvPr id="24" name="Groupe 23">
                      <a:extLst>
                        <a:ext uri="{FF2B5EF4-FFF2-40B4-BE49-F238E27FC236}">
                          <a16:creationId xmlns:a16="http://schemas.microsoft.com/office/drawing/2014/main" id="{00000000-0008-0000-0100-000018000000}"/>
                        </a:ext>
                      </a:extLst>
                    </xdr:cNvPr>
                    <xdr:cNvGrpSpPr/>
                  </xdr:nvGrpSpPr>
                  <xdr:grpSpPr>
                    <a:xfrm>
                      <a:off x="1945508" y="1452113"/>
                      <a:ext cx="6777040" cy="599480"/>
                      <a:chOff x="2018182" y="1452113"/>
                      <a:chExt cx="3087689" cy="599480"/>
                    </a:xfrm>
                  </xdr:grpSpPr>
                  <xdr:sp macro="" textlink="">
                    <xdr:nvSpPr>
                      <xdr:cNvPr id="26" name="TextBox 31">
                        <a:extLst>
                          <a:ext uri="{FF2B5EF4-FFF2-40B4-BE49-F238E27FC236}">
                            <a16:creationId xmlns:a16="http://schemas.microsoft.com/office/drawing/2014/main" id="{00000000-0008-0000-0100-00001A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50577" y="1516026"/>
                        <a:ext cx="1016233" cy="16708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l"/>
                        <a:r>
                          <a:rPr lang="en-CA" sz="1100" b="1">
                            <a:solidFill>
                              <a:srgbClr val="FF0000"/>
                            </a:solidFill>
                            <a:latin typeface="+mn-lt"/>
                            <a:ea typeface="+mn-ea"/>
                            <a:cs typeface="+mn-cs"/>
                          </a:rPr>
                          <a:t>Garanties</a:t>
                        </a:r>
                        <a:r>
                          <a:rPr lang="en-CA" sz="1100" b="1" baseline="0">
                            <a:solidFill>
                              <a:srgbClr val="FF0000"/>
                            </a:solidFill>
                            <a:latin typeface="+mn-lt"/>
                            <a:ea typeface="+mn-ea"/>
                            <a:cs typeface="+mn-cs"/>
                          </a:rPr>
                          <a:t> en retard</a:t>
                        </a:r>
                        <a:endParaRPr lang="en-CA" sz="1100" b="1">
                          <a:solidFill>
                            <a:srgbClr val="FF0000"/>
                          </a:solidFill>
                          <a:latin typeface="+mn-lt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27" name="Rectangle : coins arrondis 26">
                        <a:extLst>
                          <a:ext uri="{FF2B5EF4-FFF2-40B4-BE49-F238E27FC236}">
                            <a16:creationId xmlns:a16="http://schemas.microsoft.com/office/drawing/2014/main" id="{00000000-0008-0000-0100-00001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018182" y="1452113"/>
                        <a:ext cx="3087689" cy="599480"/>
                      </a:xfrm>
                      <a:prstGeom prst="roundRect">
                        <a:avLst/>
                      </a:prstGeom>
                      <a:noFill/>
                      <a:ln>
                        <a:solidFill>
                          <a:srgbClr val="0071C2"/>
                        </a:solidFill>
                      </a:ln>
                      <a:effectLst>
                        <a:outerShdw blurRad="50800" dist="38100" dir="5400000" algn="t" rotWithShape="0">
                          <a:prstClr val="black">
                            <a:alpha val="40000"/>
                          </a:prstClr>
                        </a:outerShdw>
                      </a:effectLst>
                    </xdr:spPr>
                    <xdr:style>
                      <a:lnRef idx="2">
                        <a:schemeClr val="accent6"/>
                      </a:lnRef>
                      <a:fillRef idx="1">
                        <a:schemeClr val="lt1"/>
                      </a:fillRef>
                      <a:effectRef idx="0">
                        <a:schemeClr val="accent6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marL="0" indent="0" algn="l"/>
                        <a:endParaRPr lang="fr-FR" sz="1100">
                          <a:solidFill>
                            <a:schemeClr val="dk1"/>
                          </a:solidFill>
                          <a:latin typeface="+mn-lt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28" name="TextBox 31">
                        <a:extLst>
                          <a:ext uri="{FF2B5EF4-FFF2-40B4-BE49-F238E27FC236}">
                            <a16:creationId xmlns:a16="http://schemas.microsoft.com/office/drawing/2014/main" id="{00000000-0008-0000-0100-00001C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590535" y="1495997"/>
                        <a:ext cx="1055506" cy="20713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l"/>
                        <a:r>
                          <a:rPr lang="en-CA" sz="1100" b="1">
                            <a:solidFill>
                              <a:srgbClr val="0070C0"/>
                            </a:solidFill>
                            <a:latin typeface="+mn-lt"/>
                            <a:ea typeface="+mn-ea"/>
                            <a:cs typeface="+mn-cs"/>
                          </a:rPr>
                          <a:t>Garanties échues mois en cours</a:t>
                        </a:r>
                      </a:p>
                    </xdr:txBody>
                  </xdr:sp>
                </xdr:grpSp>
                <xdr:cxnSp macro="">
                  <xdr:nvCxnSpPr>
                    <xdr:cNvPr id="25" name="Connecteur droit 24">
                      <a:extLst>
                        <a:ext uri="{FF2B5EF4-FFF2-40B4-BE49-F238E27FC236}">
                          <a16:creationId xmlns:a16="http://schemas.microsoft.com/office/drawing/2014/main" id="{00000000-0008-0000-0100-00001900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5383359" y="1602993"/>
                      <a:ext cx="2049" cy="360617"/>
                    </a:xfrm>
                    <a:prstGeom prst="line">
                      <a:avLst/>
                    </a:prstGeom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21" name="ZoneTexte 20">
                    <a:extLst>
                      <a:ext uri="{FF2B5EF4-FFF2-40B4-BE49-F238E27FC236}">
                        <a16:creationId xmlns:a16="http://schemas.microsoft.com/office/drawing/2014/main" id="{00000000-0008-0000-0100-000015000000}"/>
                      </a:ext>
                    </a:extLst>
                  </xdr:cNvPr>
                  <xdr:cNvSpPr txBox="1"/>
                </xdr:nvSpPr>
                <xdr:spPr>
                  <a:xfrm>
                    <a:off x="3764932" y="1654213"/>
                    <a:ext cx="982390" cy="29022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ctr"/>
                    <a:r>
                      <a:rPr lang="fr-FR" sz="1600" b="1" baseline="0"/>
                      <a:t>3K</a:t>
                    </a:r>
                    <a:r>
                      <a:rPr lang="fr-FR" sz="1800" b="1" baseline="0"/>
                      <a:t> </a:t>
                    </a:r>
                    <a:r>
                      <a:rPr lang="fr-FR" sz="1600" b="0" baseline="0">
                        <a:solidFill>
                          <a:schemeClr val="bg2">
                            <a:lumMod val="50000"/>
                          </a:schemeClr>
                        </a:solidFill>
                      </a:rPr>
                      <a:t>DH</a:t>
                    </a:r>
                    <a:r>
                      <a:rPr lang="fr-FR" sz="1800" b="0" baseline="0">
                        <a:solidFill>
                          <a:schemeClr val="bg2">
                            <a:lumMod val="50000"/>
                          </a:schemeClr>
                        </a:solidFill>
                      </a:rPr>
                      <a:t>  </a:t>
                    </a:r>
                    <a:endParaRPr lang="fr-FR" sz="1800" b="0">
                      <a:solidFill>
                        <a:schemeClr val="bg2">
                          <a:lumMod val="50000"/>
                        </a:schemeClr>
                      </a:solidFill>
                    </a:endParaRPr>
                  </a:p>
                </xdr:txBody>
              </xdr:sp>
              <xdr:pic>
                <xdr:nvPicPr>
                  <xdr:cNvPr id="22" name="Image 21">
                    <a:extLst>
                      <a:ext uri="{FF2B5EF4-FFF2-40B4-BE49-F238E27FC236}">
                        <a16:creationId xmlns:a16="http://schemas.microsoft.com/office/drawing/2014/main" id="{00000000-0008-0000-0100-000016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7">
                    <a:lum bright="70000" contrast="-70000"/>
                  </a:blip>
                  <a:stretch>
                    <a:fillRect/>
                  </a:stretch>
                </xdr:blipFill>
                <xdr:spPr>
                  <a:xfrm>
                    <a:off x="8257955" y="1605025"/>
                    <a:ext cx="354630" cy="354415"/>
                  </a:xfrm>
                  <a:prstGeom prst="rect">
                    <a:avLst/>
                  </a:prstGeom>
                </xdr:spPr>
              </xdr:pic>
              <xdr:sp macro="" textlink="$W$9">
                <xdr:nvSpPr>
                  <xdr:cNvPr id="23" name="ZoneTexte 22">
                    <a:extLst>
                      <a:ext uri="{FF2B5EF4-FFF2-40B4-BE49-F238E27FC236}">
                        <a16:creationId xmlns:a16="http://schemas.microsoft.com/office/drawing/2014/main" id="{00000000-0008-0000-0100-000017000000}"/>
                      </a:ext>
                    </a:extLst>
                  </xdr:cNvPr>
                  <xdr:cNvSpPr txBox="1"/>
                </xdr:nvSpPr>
                <xdr:spPr>
                  <a:xfrm>
                    <a:off x="6618241" y="1651804"/>
                    <a:ext cx="1286687" cy="32538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ctr"/>
                    <a:fld id="{35E132D7-7F8F-422F-BA73-0010AD42E84B}" type="TxLink">
                      <a:rPr lang="en-US" sz="1600" b="1" i="0" u="none" strike="noStrike">
                        <a:solidFill>
                          <a:srgbClr val="000000"/>
                        </a:solidFill>
                        <a:latin typeface="Calibri"/>
                        <a:cs typeface="Calibri"/>
                      </a:rPr>
                      <a:pPr algn="ctr"/>
                      <a:t>387,2 M DH</a:t>
                    </a:fld>
                    <a:endParaRPr lang="fr-FR" sz="2800" b="1">
                      <a:solidFill>
                        <a:schemeClr val="bg2">
                          <a:lumMod val="50000"/>
                        </a:schemeClr>
                      </a:solidFill>
                    </a:endParaRPr>
                  </a:p>
                </xdr:txBody>
              </xdr:sp>
            </xdr:grpSp>
            <xdr:sp macro="" textlink="">
              <xdr:nvSpPr>
                <xdr:cNvPr id="10" name="ZoneTexte 9">
                  <a:extLst>
                    <a:ext uri="{FF2B5EF4-FFF2-40B4-BE49-F238E27FC236}">
                      <a16:creationId xmlns:a16="http://schemas.microsoft.com/office/drawing/2014/main" id="{00000000-0008-0000-0100-00000A000000}"/>
                    </a:ext>
                  </a:extLst>
                </xdr:cNvPr>
                <xdr:cNvSpPr txBox="1"/>
              </xdr:nvSpPr>
              <xdr:spPr>
                <a:xfrm>
                  <a:off x="5532852" y="1273620"/>
                  <a:ext cx="1113882" cy="31660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r>
                    <a:rPr lang="fr-FR" sz="1600" b="1"/>
                    <a:t>63</a:t>
                  </a:r>
                  <a:r>
                    <a:rPr lang="fr-FR" sz="1800"/>
                    <a:t> </a:t>
                  </a:r>
                </a:p>
              </xdr:txBody>
            </xdr:sp>
            <xdr:sp macro="" textlink="$V$9">
              <xdr:nvSpPr>
                <xdr:cNvPr id="5" name="ZoneTexte 4">
                  <a:extLst>
                    <a:ext uri="{FF2B5EF4-FFF2-40B4-BE49-F238E27FC236}">
                      <a16:creationId xmlns:a16="http://schemas.microsoft.com/office/drawing/2014/main" id="{00000000-0008-0000-0100-000005000000}"/>
                    </a:ext>
                  </a:extLst>
                </xdr:cNvPr>
                <xdr:cNvSpPr txBox="1"/>
              </xdr:nvSpPr>
              <xdr:spPr>
                <a:xfrm>
                  <a:off x="5529771" y="503114"/>
                  <a:ext cx="1113882" cy="31660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fld id="{AB4D48D3-D2CC-445A-BD14-196FC4FE97E4}" type="TxLink">
                    <a:rPr lang="en-US" sz="1800" b="1" i="0" u="none" strike="noStrike">
                      <a:solidFill>
                        <a:srgbClr val="000000"/>
                      </a:solidFill>
                      <a:latin typeface="Calibri"/>
                      <a:cs typeface="Calibri"/>
                    </a:rPr>
                    <a:pPr algn="ctr"/>
                    <a:t>200</a:t>
                  </a:fld>
                  <a:endParaRPr lang="fr-FR" sz="1800"/>
                </a:p>
              </xdr:txBody>
            </xdr:sp>
          </xdr:grpSp>
        </xdr:grpSp>
        <xdr:grpSp>
          <xdr:nvGrpSpPr>
            <xdr:cNvPr id="29" name="Groupe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GrpSpPr/>
          </xdr:nvGrpSpPr>
          <xdr:grpSpPr>
            <a:xfrm>
              <a:off x="2036761" y="2646497"/>
              <a:ext cx="6572974" cy="613174"/>
              <a:chOff x="2079766" y="1075838"/>
              <a:chExt cx="6562955" cy="618410"/>
            </a:xfrm>
          </xdr:grpSpPr>
          <xdr:grpSp>
            <xdr:nvGrpSpPr>
              <xdr:cNvPr id="32" name="Groupe 31">
                <a:extLst>
                  <a:ext uri="{FF2B5EF4-FFF2-40B4-BE49-F238E27FC236}">
                    <a16:creationId xmlns:a16="http://schemas.microsoft.com/office/drawing/2014/main" id="{00000000-0008-0000-0100-000020000000}"/>
                  </a:ext>
                </a:extLst>
              </xdr:cNvPr>
              <xdr:cNvGrpSpPr/>
            </xdr:nvGrpSpPr>
            <xdr:grpSpPr>
              <a:xfrm>
                <a:off x="2079766" y="1075838"/>
                <a:ext cx="6562955" cy="618410"/>
                <a:chOff x="1945708" y="1443631"/>
                <a:chExt cx="6793830" cy="600865"/>
              </a:xfrm>
            </xdr:grpSpPr>
            <xdr:sp macro="" textlink="">
              <xdr:nvSpPr>
                <xdr:cNvPr id="35" name="ZoneTexte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SpPr txBox="1"/>
              </xdr:nvSpPr>
              <xdr:spPr>
                <a:xfrm>
                  <a:off x="2618257" y="1697731"/>
                  <a:ext cx="643070" cy="28503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/>
                  <a:r>
                    <a:rPr lang="fr-FR" sz="1400" b="1">
                      <a:solidFill>
                        <a:srgbClr val="FF5353"/>
                      </a:solidFill>
                      <a:latin typeface="+mn-lt"/>
                      <a:ea typeface="+mn-ea"/>
                      <a:cs typeface="+mn-cs"/>
                    </a:rPr>
                    <a:t> -9 </a:t>
                  </a:r>
                </a:p>
              </xdr:txBody>
            </xdr:sp>
            <xdr:grpSp>
              <xdr:nvGrpSpPr>
                <xdr:cNvPr id="36" name="Groupe 35">
                  <a:extLst>
                    <a:ext uri="{FF2B5EF4-FFF2-40B4-BE49-F238E27FC236}">
                      <a16:creationId xmlns:a16="http://schemas.microsoft.com/office/drawing/2014/main" id="{00000000-0008-0000-0100-000024000000}"/>
                    </a:ext>
                  </a:extLst>
                </xdr:cNvPr>
                <xdr:cNvGrpSpPr/>
              </xdr:nvGrpSpPr>
              <xdr:grpSpPr>
                <a:xfrm>
                  <a:off x="1945708" y="1443631"/>
                  <a:ext cx="6793830" cy="600865"/>
                  <a:chOff x="1945508" y="1452114"/>
                  <a:chExt cx="6777040" cy="599480"/>
                </a:xfrm>
              </xdr:grpSpPr>
              <xdr:grpSp>
                <xdr:nvGrpSpPr>
                  <xdr:cNvPr id="40" name="Groupe 39">
                    <a:extLst>
                      <a:ext uri="{FF2B5EF4-FFF2-40B4-BE49-F238E27FC236}">
                        <a16:creationId xmlns:a16="http://schemas.microsoft.com/office/drawing/2014/main" id="{00000000-0008-0000-0100-000028000000}"/>
                      </a:ext>
                    </a:extLst>
                  </xdr:cNvPr>
                  <xdr:cNvGrpSpPr/>
                </xdr:nvGrpSpPr>
                <xdr:grpSpPr>
                  <a:xfrm>
                    <a:off x="1945508" y="1452114"/>
                    <a:ext cx="6777040" cy="599480"/>
                    <a:chOff x="2018182" y="1452114"/>
                    <a:chExt cx="3087689" cy="599480"/>
                  </a:xfrm>
                </xdr:grpSpPr>
                <xdr:sp macro="" textlink="">
                  <xdr:nvSpPr>
                    <xdr:cNvPr id="42" name="TextBox 31">
                      <a:extLst>
                        <a:ext uri="{FF2B5EF4-FFF2-40B4-BE49-F238E27FC236}">
                          <a16:creationId xmlns:a16="http://schemas.microsoft.com/office/drawing/2014/main" id="{00000000-0008-0000-0100-00002A000000}"/>
                        </a:ext>
                      </a:extLst>
                    </xdr:cNvPr>
                    <xdr:cNvSpPr txBox="1"/>
                  </xdr:nvSpPr>
                  <xdr:spPr>
                    <a:xfrm>
                      <a:off x="2050577" y="1516026"/>
                      <a:ext cx="1016233" cy="16708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l"/>
                      <a:r>
                        <a:rPr lang="en-CA" sz="1100" b="1">
                          <a:solidFill>
                            <a:srgbClr val="FF0000"/>
                          </a:solidFill>
                          <a:latin typeface="+mn-lt"/>
                          <a:ea typeface="+mn-ea"/>
                          <a:cs typeface="+mn-cs"/>
                        </a:rPr>
                        <a:t>Comission non réglée</a:t>
                      </a:r>
                      <a:r>
                        <a:rPr lang="en-CA" sz="1100" b="1" baseline="0">
                          <a:solidFill>
                            <a:srgbClr val="FF0000"/>
                          </a:solidFill>
                          <a:latin typeface="+mn-lt"/>
                          <a:ea typeface="+mn-ea"/>
                          <a:cs typeface="+mn-cs"/>
                        </a:rPr>
                        <a:t> en retard</a:t>
                      </a:r>
                      <a:endParaRPr lang="en-CA" sz="1100" b="1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43" name="Rectangle : coins arrondis 42">
                      <a:extLst>
                        <a:ext uri="{FF2B5EF4-FFF2-40B4-BE49-F238E27FC236}">
                          <a16:creationId xmlns:a16="http://schemas.microsoft.com/office/drawing/2014/main" id="{00000000-0008-0000-0100-00002B000000}"/>
                        </a:ext>
                      </a:extLst>
                    </xdr:cNvPr>
                    <xdr:cNvSpPr/>
                  </xdr:nvSpPr>
                  <xdr:spPr>
                    <a:xfrm>
                      <a:off x="2018182" y="1452114"/>
                      <a:ext cx="3087689" cy="599480"/>
                    </a:xfrm>
                    <a:prstGeom prst="roundRect">
                      <a:avLst/>
                    </a:prstGeom>
                    <a:noFill/>
                    <a:ln>
                      <a:solidFill>
                        <a:srgbClr val="0071C2"/>
                      </a:solidFill>
                    </a:ln>
                    <a:effectLst>
                      <a:outerShdw blurRad="50800" dist="38100" dir="5400000" algn="t" rotWithShape="0">
                        <a:prstClr val="black">
                          <a:alpha val="40000"/>
                        </a:prstClr>
                      </a:outerShdw>
                    </a:effectLst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indent="0" algn="l"/>
                      <a:endParaRPr lang="fr-FR"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44" name="TextBox 31">
                      <a:extLst>
                        <a:ext uri="{FF2B5EF4-FFF2-40B4-BE49-F238E27FC236}">
                          <a16:creationId xmlns:a16="http://schemas.microsoft.com/office/drawing/2014/main" id="{00000000-0008-0000-0100-00002C000000}"/>
                        </a:ext>
                      </a:extLst>
                    </xdr:cNvPr>
                    <xdr:cNvSpPr txBox="1"/>
                  </xdr:nvSpPr>
                  <xdr:spPr>
                    <a:xfrm>
                      <a:off x="3590535" y="1495997"/>
                      <a:ext cx="1111485" cy="19384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l"/>
                      <a:r>
                        <a:rPr lang="en-CA" sz="1100" b="1">
                          <a:solidFill>
                            <a:srgbClr val="0070C0"/>
                          </a:solidFill>
                          <a:latin typeface="+mn-lt"/>
                          <a:ea typeface="+mn-ea"/>
                          <a:cs typeface="+mn-cs"/>
                        </a:rPr>
                        <a:t>Comission non réglée mois en cours</a:t>
                      </a:r>
                    </a:p>
                  </xdr:txBody>
                </xdr:sp>
              </xdr:grpSp>
              <xdr:cxnSp macro="">
                <xdr:nvCxnSpPr>
                  <xdr:cNvPr id="41" name="Connecteur droit 40">
                    <a:extLst>
                      <a:ext uri="{FF2B5EF4-FFF2-40B4-BE49-F238E27FC236}">
                        <a16:creationId xmlns:a16="http://schemas.microsoft.com/office/drawing/2014/main" id="{00000000-0008-0000-0100-000029000000}"/>
                      </a:ext>
                    </a:extLst>
                  </xdr:cNvPr>
                  <xdr:cNvCxnSpPr/>
                </xdr:nvCxnSpPr>
                <xdr:spPr>
                  <a:xfrm flipH="1">
                    <a:off x="5383359" y="1602993"/>
                    <a:ext cx="2049" cy="360617"/>
                  </a:xfrm>
                  <a:prstGeom prst="line">
                    <a:avLst/>
                  </a:prstGeom>
                  <a:ln w="9525">
                    <a:solidFill>
                      <a:schemeClr val="bg2">
                        <a:lumMod val="75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37" name="ZoneTexte 36">
                  <a:extLst>
                    <a:ext uri="{FF2B5EF4-FFF2-40B4-BE49-F238E27FC236}">
                      <a16:creationId xmlns:a16="http://schemas.microsoft.com/office/drawing/2014/main" id="{00000000-0008-0000-0100-000025000000}"/>
                    </a:ext>
                  </a:extLst>
                </xdr:cNvPr>
                <xdr:cNvSpPr txBox="1"/>
              </xdr:nvSpPr>
              <xdr:spPr>
                <a:xfrm>
                  <a:off x="3764932" y="1654213"/>
                  <a:ext cx="982390" cy="2902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r>
                    <a:rPr lang="fr-FR" sz="1600" b="1" baseline="0"/>
                    <a:t>3K</a:t>
                  </a:r>
                  <a:r>
                    <a:rPr lang="fr-FR" sz="1800" b="1" baseline="0"/>
                    <a:t> </a:t>
                  </a:r>
                  <a:r>
                    <a:rPr lang="fr-FR" sz="16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DH</a:t>
                  </a:r>
                  <a:r>
                    <a:rPr lang="fr-FR" sz="18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  </a:t>
                  </a:r>
                  <a:endParaRPr lang="fr-FR" sz="1800" b="0">
                    <a:solidFill>
                      <a:schemeClr val="bg2">
                        <a:lumMod val="50000"/>
                      </a:schemeClr>
                    </a:solidFill>
                  </a:endParaRPr>
                </a:p>
              </xdr:txBody>
            </xdr:sp>
            <xdr:pic>
              <xdr:nvPicPr>
                <xdr:cNvPr id="38" name="Image 37">
                  <a:extLst>
                    <a:ext uri="{FF2B5EF4-FFF2-40B4-BE49-F238E27FC236}">
                      <a16:creationId xmlns:a16="http://schemas.microsoft.com/office/drawing/2014/main" id="{00000000-0008-0000-0100-000026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7">
                  <a:lum bright="70000" contrast="-70000"/>
                </a:blip>
                <a:stretch>
                  <a:fillRect/>
                </a:stretch>
              </xdr:blipFill>
              <xdr:spPr>
                <a:xfrm>
                  <a:off x="8257955" y="1605025"/>
                  <a:ext cx="354630" cy="354415"/>
                </a:xfrm>
                <a:prstGeom prst="rect">
                  <a:avLst/>
                </a:prstGeom>
              </xdr:spPr>
            </xdr:pic>
            <xdr:sp macro="" textlink="">
              <xdr:nvSpPr>
                <xdr:cNvPr id="39" name="ZoneTexte 38">
                  <a:extLst>
                    <a:ext uri="{FF2B5EF4-FFF2-40B4-BE49-F238E27FC236}">
                      <a16:creationId xmlns:a16="http://schemas.microsoft.com/office/drawing/2014/main" id="{00000000-0008-0000-0100-000027000000}"/>
                    </a:ext>
                  </a:extLst>
                </xdr:cNvPr>
                <xdr:cNvSpPr txBox="1"/>
              </xdr:nvSpPr>
              <xdr:spPr>
                <a:xfrm>
                  <a:off x="6860797" y="1631780"/>
                  <a:ext cx="982390" cy="2902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r>
                    <a:rPr lang="fr-FR" sz="1600" b="1"/>
                    <a:t>2.8</a:t>
                  </a:r>
                  <a:r>
                    <a:rPr lang="fr-FR" sz="1600" b="1" baseline="0"/>
                    <a:t>M</a:t>
                  </a:r>
                  <a:r>
                    <a:rPr lang="fr-FR" sz="1800" b="1" baseline="0"/>
                    <a:t> </a:t>
                  </a:r>
                  <a:r>
                    <a:rPr lang="fr-FR" sz="16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DH</a:t>
                  </a:r>
                  <a:r>
                    <a:rPr lang="fr-FR" sz="18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  </a:t>
                  </a:r>
                  <a:endParaRPr lang="fr-FR" sz="1800" b="0">
                    <a:solidFill>
                      <a:schemeClr val="bg2">
                        <a:lumMod val="50000"/>
                      </a:schemeClr>
                    </a:solidFill>
                  </a:endParaRPr>
                </a:p>
              </xdr:txBody>
            </xdr:sp>
          </xdr:grpSp>
          <xdr:sp macro="" textlink="">
            <xdr:nvSpPr>
              <xdr:cNvPr id="31" name="ZoneTexte 30">
                <a:extLst>
                  <a:ext uri="{FF2B5EF4-FFF2-40B4-BE49-F238E27FC236}">
                    <a16:creationId xmlns:a16="http://schemas.microsoft.com/office/drawing/2014/main" id="{00000000-0008-0000-0100-00001F000000}"/>
                  </a:ext>
                </a:extLst>
              </xdr:cNvPr>
              <xdr:cNvSpPr txBox="1"/>
            </xdr:nvSpPr>
            <xdr:spPr>
              <a:xfrm>
                <a:off x="5532852" y="1273620"/>
                <a:ext cx="1113882" cy="31660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fr-FR" sz="1600" b="1"/>
                  <a:t>63</a:t>
                </a:r>
                <a:r>
                  <a:rPr lang="fr-FR" sz="1800"/>
                  <a:t> </a:t>
                </a:r>
              </a:p>
            </xdr:txBody>
          </xdr:sp>
        </xdr:grpSp>
        <xdr:grpSp>
          <xdr:nvGrpSpPr>
            <xdr:cNvPr id="45" name="Groupe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GrpSpPr/>
          </xdr:nvGrpSpPr>
          <xdr:grpSpPr>
            <a:xfrm>
              <a:off x="2036761" y="3432786"/>
              <a:ext cx="6572974" cy="613702"/>
              <a:chOff x="2079766" y="1075838"/>
              <a:chExt cx="6562955" cy="618410"/>
            </a:xfrm>
          </xdr:grpSpPr>
          <xdr:grpSp>
            <xdr:nvGrpSpPr>
              <xdr:cNvPr id="48" name="Groupe 47">
                <a:extLst>
                  <a:ext uri="{FF2B5EF4-FFF2-40B4-BE49-F238E27FC236}">
                    <a16:creationId xmlns:a16="http://schemas.microsoft.com/office/drawing/2014/main" id="{00000000-0008-0000-0100-000030000000}"/>
                  </a:ext>
                </a:extLst>
              </xdr:cNvPr>
              <xdr:cNvGrpSpPr/>
            </xdr:nvGrpSpPr>
            <xdr:grpSpPr>
              <a:xfrm>
                <a:off x="2079766" y="1075838"/>
                <a:ext cx="6562955" cy="618410"/>
                <a:chOff x="1945708" y="1443631"/>
                <a:chExt cx="6793830" cy="600865"/>
              </a:xfrm>
            </xdr:grpSpPr>
            <xdr:sp macro="" textlink="">
              <xdr:nvSpPr>
                <xdr:cNvPr id="50" name="ZoneTexte 49">
                  <a:extLst>
                    <a:ext uri="{FF2B5EF4-FFF2-40B4-BE49-F238E27FC236}">
                      <a16:creationId xmlns:a16="http://schemas.microsoft.com/office/drawing/2014/main" id="{00000000-0008-0000-0100-000032000000}"/>
                    </a:ext>
                  </a:extLst>
                </xdr:cNvPr>
                <xdr:cNvSpPr txBox="1"/>
              </xdr:nvSpPr>
              <xdr:spPr>
                <a:xfrm>
                  <a:off x="2618257" y="1697731"/>
                  <a:ext cx="643070" cy="28503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/>
                  <a:r>
                    <a:rPr lang="fr-FR" sz="1400" b="1">
                      <a:solidFill>
                        <a:srgbClr val="FF5353"/>
                      </a:solidFill>
                      <a:latin typeface="+mn-lt"/>
                      <a:ea typeface="+mn-ea"/>
                      <a:cs typeface="+mn-cs"/>
                    </a:rPr>
                    <a:t> -9 </a:t>
                  </a:r>
                </a:p>
              </xdr:txBody>
            </xdr:sp>
            <xdr:grpSp>
              <xdr:nvGrpSpPr>
                <xdr:cNvPr id="51" name="Groupe 50">
                  <a:extLst>
                    <a:ext uri="{FF2B5EF4-FFF2-40B4-BE49-F238E27FC236}">
                      <a16:creationId xmlns:a16="http://schemas.microsoft.com/office/drawing/2014/main" id="{00000000-0008-0000-0100-000033000000}"/>
                    </a:ext>
                  </a:extLst>
                </xdr:cNvPr>
                <xdr:cNvGrpSpPr/>
              </xdr:nvGrpSpPr>
              <xdr:grpSpPr>
                <a:xfrm>
                  <a:off x="1945708" y="1443631"/>
                  <a:ext cx="6793830" cy="600865"/>
                  <a:chOff x="1945508" y="1452114"/>
                  <a:chExt cx="6777040" cy="599480"/>
                </a:xfrm>
              </xdr:grpSpPr>
              <xdr:grpSp>
                <xdr:nvGrpSpPr>
                  <xdr:cNvPr id="55" name="Groupe 54">
                    <a:extLst>
                      <a:ext uri="{FF2B5EF4-FFF2-40B4-BE49-F238E27FC236}">
                        <a16:creationId xmlns:a16="http://schemas.microsoft.com/office/drawing/2014/main" id="{00000000-0008-0000-0100-000037000000}"/>
                      </a:ext>
                    </a:extLst>
                  </xdr:cNvPr>
                  <xdr:cNvGrpSpPr/>
                </xdr:nvGrpSpPr>
                <xdr:grpSpPr>
                  <a:xfrm>
                    <a:off x="1945508" y="1452114"/>
                    <a:ext cx="6777040" cy="599480"/>
                    <a:chOff x="2018182" y="1452114"/>
                    <a:chExt cx="3087689" cy="599480"/>
                  </a:xfrm>
                </xdr:grpSpPr>
                <xdr:sp macro="" textlink="">
                  <xdr:nvSpPr>
                    <xdr:cNvPr id="57" name="TextBox 31">
                      <a:extLst>
                        <a:ext uri="{FF2B5EF4-FFF2-40B4-BE49-F238E27FC236}">
                          <a16:creationId xmlns:a16="http://schemas.microsoft.com/office/drawing/2014/main" id="{00000000-0008-0000-0100-000039000000}"/>
                        </a:ext>
                      </a:extLst>
                    </xdr:cNvPr>
                    <xdr:cNvSpPr txBox="1"/>
                  </xdr:nvSpPr>
                  <xdr:spPr>
                    <a:xfrm>
                      <a:off x="2050577" y="1516026"/>
                      <a:ext cx="1112102" cy="18926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l"/>
                      <a:r>
                        <a:rPr lang="en-CA" sz="1100" b="1">
                          <a:solidFill>
                            <a:srgbClr val="FF0000"/>
                          </a:solidFill>
                          <a:latin typeface="+mn-lt"/>
                          <a:ea typeface="+mn-ea"/>
                          <a:cs typeface="+mn-cs"/>
                        </a:rPr>
                        <a:t>Mise</a:t>
                      </a:r>
                      <a:r>
                        <a:rPr lang="en-CA" sz="1100" b="1" baseline="0">
                          <a:solidFill>
                            <a:srgbClr val="FF0000"/>
                          </a:solidFill>
                          <a:latin typeface="+mn-lt"/>
                          <a:ea typeface="+mn-ea"/>
                          <a:cs typeface="+mn-cs"/>
                        </a:rPr>
                        <a:t> en jeu de 3 mois NR en retard</a:t>
                      </a:r>
                      <a:endParaRPr lang="en-CA" sz="1100" b="1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58" name="Rectangle : coins arrondis 57">
                      <a:extLst>
                        <a:ext uri="{FF2B5EF4-FFF2-40B4-BE49-F238E27FC236}">
                          <a16:creationId xmlns:a16="http://schemas.microsoft.com/office/drawing/2014/main" id="{00000000-0008-0000-0100-00003A000000}"/>
                        </a:ext>
                      </a:extLst>
                    </xdr:cNvPr>
                    <xdr:cNvSpPr/>
                  </xdr:nvSpPr>
                  <xdr:spPr>
                    <a:xfrm>
                      <a:off x="2018182" y="1452114"/>
                      <a:ext cx="3087689" cy="599480"/>
                    </a:xfrm>
                    <a:prstGeom prst="roundRect">
                      <a:avLst/>
                    </a:prstGeom>
                    <a:noFill/>
                    <a:ln>
                      <a:solidFill>
                        <a:srgbClr val="0071C2"/>
                      </a:solidFill>
                    </a:ln>
                    <a:effectLst>
                      <a:outerShdw blurRad="50800" dist="38100" dir="5400000" algn="t" rotWithShape="0">
                        <a:prstClr val="black">
                          <a:alpha val="40000"/>
                        </a:prstClr>
                      </a:outerShdw>
                    </a:effectLst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indent="0" algn="l"/>
                      <a:endParaRPr lang="fr-FR"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59" name="TextBox 31">
                      <a:extLst>
                        <a:ext uri="{FF2B5EF4-FFF2-40B4-BE49-F238E27FC236}">
                          <a16:creationId xmlns:a16="http://schemas.microsoft.com/office/drawing/2014/main" id="{00000000-0008-0000-0100-00003B000000}"/>
                        </a:ext>
                      </a:extLst>
                    </xdr:cNvPr>
                    <xdr:cNvSpPr txBox="1"/>
                  </xdr:nvSpPr>
                  <xdr:spPr>
                    <a:xfrm>
                      <a:off x="3590535" y="1495997"/>
                      <a:ext cx="1055506" cy="20713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l"/>
                      <a:r>
                        <a:rPr lang="en-CA" sz="1100" b="1">
                          <a:solidFill>
                            <a:srgbClr val="0070C0"/>
                          </a:solidFill>
                          <a:latin typeface="+mn-lt"/>
                          <a:ea typeface="+mn-ea"/>
                          <a:cs typeface="+mn-cs"/>
                        </a:rPr>
                        <a:t>Mise en</a:t>
                      </a:r>
                      <a:r>
                        <a:rPr lang="en-CA" sz="1100" b="1" baseline="0">
                          <a:solidFill>
                            <a:srgbClr val="0070C0"/>
                          </a:solidFill>
                          <a:latin typeface="+mn-lt"/>
                          <a:ea typeface="+mn-ea"/>
                          <a:cs typeface="+mn-cs"/>
                        </a:rPr>
                        <a:t> jeu de 3 mois NR en cours</a:t>
                      </a:r>
                      <a:endParaRPr lang="en-CA" sz="1100" b="1">
                        <a:solidFill>
                          <a:srgbClr val="0070C0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</xdr:grpSp>
              <xdr:cxnSp macro="">
                <xdr:nvCxnSpPr>
                  <xdr:cNvPr id="56" name="Connecteur droit 55">
                    <a:extLst>
                      <a:ext uri="{FF2B5EF4-FFF2-40B4-BE49-F238E27FC236}">
                        <a16:creationId xmlns:a16="http://schemas.microsoft.com/office/drawing/2014/main" id="{00000000-0008-0000-0100-000038000000}"/>
                      </a:ext>
                    </a:extLst>
                  </xdr:cNvPr>
                  <xdr:cNvCxnSpPr/>
                </xdr:nvCxnSpPr>
                <xdr:spPr>
                  <a:xfrm flipH="1">
                    <a:off x="5383359" y="1602993"/>
                    <a:ext cx="2049" cy="360617"/>
                  </a:xfrm>
                  <a:prstGeom prst="line">
                    <a:avLst/>
                  </a:prstGeom>
                  <a:ln w="9525">
                    <a:solidFill>
                      <a:schemeClr val="bg2">
                        <a:lumMod val="75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52" name="ZoneTexte 51">
                  <a:extLst>
                    <a:ext uri="{FF2B5EF4-FFF2-40B4-BE49-F238E27FC236}">
                      <a16:creationId xmlns:a16="http://schemas.microsoft.com/office/drawing/2014/main" id="{00000000-0008-0000-0100-000034000000}"/>
                    </a:ext>
                  </a:extLst>
                </xdr:cNvPr>
                <xdr:cNvSpPr txBox="1"/>
              </xdr:nvSpPr>
              <xdr:spPr>
                <a:xfrm>
                  <a:off x="3764932" y="1654213"/>
                  <a:ext cx="982390" cy="2902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r>
                    <a:rPr lang="fr-FR" sz="1600" b="1" baseline="0"/>
                    <a:t>3K</a:t>
                  </a:r>
                  <a:r>
                    <a:rPr lang="fr-FR" sz="1800" b="1" baseline="0"/>
                    <a:t> </a:t>
                  </a:r>
                  <a:r>
                    <a:rPr lang="fr-FR" sz="16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DH</a:t>
                  </a:r>
                  <a:r>
                    <a:rPr lang="fr-FR" sz="18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  </a:t>
                  </a:r>
                  <a:endParaRPr lang="fr-FR" sz="1800" b="0">
                    <a:solidFill>
                      <a:schemeClr val="bg2">
                        <a:lumMod val="50000"/>
                      </a:schemeClr>
                    </a:solidFill>
                  </a:endParaRPr>
                </a:p>
              </xdr:txBody>
            </xdr:sp>
            <xdr:pic>
              <xdr:nvPicPr>
                <xdr:cNvPr id="53" name="Image 52">
                  <a:extLst>
                    <a:ext uri="{FF2B5EF4-FFF2-40B4-BE49-F238E27FC236}">
                      <a16:creationId xmlns:a16="http://schemas.microsoft.com/office/drawing/2014/main" id="{00000000-0008-0000-0100-000035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7">
                  <a:lum bright="70000" contrast="-70000"/>
                </a:blip>
                <a:stretch>
                  <a:fillRect/>
                </a:stretch>
              </xdr:blipFill>
              <xdr:spPr>
                <a:xfrm>
                  <a:off x="8257955" y="1605025"/>
                  <a:ext cx="354630" cy="354415"/>
                </a:xfrm>
                <a:prstGeom prst="rect">
                  <a:avLst/>
                </a:prstGeom>
              </xdr:spPr>
            </xdr:pic>
            <xdr:sp macro="" textlink="">
              <xdr:nvSpPr>
                <xdr:cNvPr id="54" name="ZoneTexte 53">
                  <a:extLst>
                    <a:ext uri="{FF2B5EF4-FFF2-40B4-BE49-F238E27FC236}">
                      <a16:creationId xmlns:a16="http://schemas.microsoft.com/office/drawing/2014/main" id="{00000000-0008-0000-0100-000036000000}"/>
                    </a:ext>
                  </a:extLst>
                </xdr:cNvPr>
                <xdr:cNvSpPr txBox="1"/>
              </xdr:nvSpPr>
              <xdr:spPr>
                <a:xfrm>
                  <a:off x="6860797" y="1631780"/>
                  <a:ext cx="982390" cy="2902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r>
                    <a:rPr lang="fr-FR" sz="1600" b="1"/>
                    <a:t>2.8</a:t>
                  </a:r>
                  <a:r>
                    <a:rPr lang="fr-FR" sz="1600" b="1" baseline="0"/>
                    <a:t>M</a:t>
                  </a:r>
                  <a:r>
                    <a:rPr lang="fr-FR" sz="1800" b="1" baseline="0"/>
                    <a:t> </a:t>
                  </a:r>
                  <a:r>
                    <a:rPr lang="fr-FR" sz="16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DH</a:t>
                  </a:r>
                  <a:r>
                    <a:rPr lang="fr-FR" sz="1800" b="0" baseline="0">
                      <a:solidFill>
                        <a:schemeClr val="bg2">
                          <a:lumMod val="50000"/>
                        </a:schemeClr>
                      </a:solidFill>
                    </a:rPr>
                    <a:t>  </a:t>
                  </a:r>
                  <a:endParaRPr lang="fr-FR" sz="1800" b="0">
                    <a:solidFill>
                      <a:schemeClr val="bg2">
                        <a:lumMod val="50000"/>
                      </a:schemeClr>
                    </a:solidFill>
                  </a:endParaRPr>
                </a:p>
              </xdr:txBody>
            </xdr:sp>
          </xdr:grpSp>
          <xdr:sp macro="" textlink="">
            <xdr:nvSpPr>
              <xdr:cNvPr id="47" name="ZoneTexte 46">
                <a:extLst>
                  <a:ext uri="{FF2B5EF4-FFF2-40B4-BE49-F238E27FC236}">
                    <a16:creationId xmlns:a16="http://schemas.microsoft.com/office/drawing/2014/main" id="{00000000-0008-0000-0100-00002F000000}"/>
                  </a:ext>
                </a:extLst>
              </xdr:cNvPr>
              <xdr:cNvSpPr txBox="1"/>
            </xdr:nvSpPr>
            <xdr:spPr>
              <a:xfrm>
                <a:off x="5532852" y="1273620"/>
                <a:ext cx="1113882" cy="31660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fr-FR" sz="1600" b="1"/>
                  <a:t>63</a:t>
                </a:r>
                <a:r>
                  <a:rPr lang="fr-FR" sz="1800"/>
                  <a:t> </a:t>
                </a:r>
              </a:p>
            </xdr:txBody>
          </xdr:sp>
        </xdr:grpSp>
      </xdr:grpSp>
    </xdr:grpSp>
    <xdr:clientData/>
  </xdr:twoCellAnchor>
  <xdr:twoCellAnchor>
    <xdr:from>
      <xdr:col>0</xdr:col>
      <xdr:colOff>26458</xdr:colOff>
      <xdr:row>10</xdr:row>
      <xdr:rowOff>246945</xdr:rowOff>
    </xdr:from>
    <xdr:to>
      <xdr:col>2</xdr:col>
      <xdr:colOff>813777</xdr:colOff>
      <xdr:row>26</xdr:row>
      <xdr:rowOff>77764</xdr:rowOff>
    </xdr:to>
    <xdr:grpSp>
      <xdr:nvGrpSpPr>
        <xdr:cNvPr id="61" name="Groupe 60">
          <a:extLst>
            <a:ext uri="{FF2B5EF4-FFF2-40B4-BE49-F238E27FC236}">
              <a16:creationId xmlns:a16="http://schemas.microsoft.com/office/drawing/2014/main" id="{EB3103D3-2245-4322-8804-86261C3AECC8}"/>
            </a:ext>
          </a:extLst>
        </xdr:cNvPr>
        <xdr:cNvGrpSpPr/>
      </xdr:nvGrpSpPr>
      <xdr:grpSpPr>
        <a:xfrm>
          <a:off x="26458" y="2319514"/>
          <a:ext cx="2480652" cy="3049917"/>
          <a:chOff x="0" y="2338930"/>
          <a:chExt cx="2480652" cy="3049917"/>
        </a:xfrm>
      </xdr:grpSpPr>
      <xdr:sp macro="" textlink="">
        <xdr:nvSpPr>
          <xdr:cNvPr id="62" name="ZoneTexte 61">
            <a:extLst>
              <a:ext uri="{FF2B5EF4-FFF2-40B4-BE49-F238E27FC236}">
                <a16:creationId xmlns:a16="http://schemas.microsoft.com/office/drawing/2014/main" id="{FA3BC1A1-F0D6-B345-6CD1-55939A1B66CF}"/>
              </a:ext>
            </a:extLst>
          </xdr:cNvPr>
          <xdr:cNvSpPr txBox="1"/>
        </xdr:nvSpPr>
        <xdr:spPr>
          <a:xfrm>
            <a:off x="31319" y="4784330"/>
            <a:ext cx="1606645" cy="230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200" b="1">
                <a:solidFill>
                  <a:srgbClr val="0071C2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Filtre par semaine</a:t>
            </a:r>
          </a:p>
        </xdr:txBody>
      </xdr:sp>
      <xdr:grpSp>
        <xdr:nvGrpSpPr>
          <xdr:cNvPr id="63" name="Groupe 62">
            <a:extLst>
              <a:ext uri="{FF2B5EF4-FFF2-40B4-BE49-F238E27FC236}">
                <a16:creationId xmlns:a16="http://schemas.microsoft.com/office/drawing/2014/main" id="{26088572-0307-2DF7-29E2-B4AEEF2F131E}"/>
              </a:ext>
            </a:extLst>
          </xdr:cNvPr>
          <xdr:cNvGrpSpPr/>
        </xdr:nvGrpSpPr>
        <xdr:grpSpPr>
          <a:xfrm>
            <a:off x="42164" y="5158759"/>
            <a:ext cx="951250" cy="230088"/>
            <a:chOff x="81162" y="2576238"/>
            <a:chExt cx="954118" cy="228264"/>
          </a:xfrm>
        </xdr:grpSpPr>
        <xdr:sp macro="" textlink="">
          <xdr:nvSpPr>
            <xdr:cNvPr id="107" name="ZoneTexte 106">
              <a:extLst>
                <a:ext uri="{FF2B5EF4-FFF2-40B4-BE49-F238E27FC236}">
                  <a16:creationId xmlns:a16="http://schemas.microsoft.com/office/drawing/2014/main" id="{9CC72D01-78B9-E456-C3C3-27767E7FF4F6}"/>
                </a:ext>
              </a:extLst>
            </xdr:cNvPr>
            <xdr:cNvSpPr txBox="1"/>
          </xdr:nvSpPr>
          <xdr:spPr>
            <a:xfrm>
              <a:off x="81162" y="2576238"/>
              <a:ext cx="954118" cy="22826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200" b="1"/>
                <a:t>Juin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97" name="mois  5">
                <a:extLst>
                  <a:ext uri="{FF2B5EF4-FFF2-40B4-BE49-F238E27FC236}">
                    <a16:creationId xmlns:a16="http://schemas.microsoft.com/office/drawing/2014/main" id="{2D928EB2-06A2-219E-9162-D84749E7BBBE}"/>
                  </a:ext>
                </a:extLst>
              </xdr:cNvPr>
              <xdr:cNvGraphicFramePr/>
            </xdr:nvGraphicFramePr>
            <xdr:xfrm>
              <a:off x="0" y="2724938"/>
              <a:ext cx="1773081" cy="1865823"/>
            </xdr:xfrm>
            <a:graphic>
              <a:graphicData uri="http://schemas.microsoft.com/office/drawing/2010/slicer">
                <sle:slicer xmlns:sle="http://schemas.microsoft.com/office/drawing/2010/slicer" name="mois 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6458" y="2705522"/>
                <a:ext cx="1773081" cy="186582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xdr:sp macro="" textlink="">
        <xdr:nvSpPr>
          <xdr:cNvPr id="98" name="TextBox 31">
            <a:extLst>
              <a:ext uri="{FF2B5EF4-FFF2-40B4-BE49-F238E27FC236}">
                <a16:creationId xmlns:a16="http://schemas.microsoft.com/office/drawing/2014/main" id="{3C505851-D745-AD84-70C3-E6FF58A84E8D}"/>
              </a:ext>
            </a:extLst>
          </xdr:cNvPr>
          <xdr:cNvSpPr txBox="1"/>
        </xdr:nvSpPr>
        <xdr:spPr>
          <a:xfrm>
            <a:off x="0" y="2338930"/>
            <a:ext cx="2480652" cy="2760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CA" sz="1200" b="1">
                <a:solidFill>
                  <a:srgbClr val="0070C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Filtre</a:t>
            </a:r>
            <a:r>
              <a:rPr lang="en-CA" sz="1200" b="1" baseline="0">
                <a:solidFill>
                  <a:srgbClr val="0070C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par mois </a:t>
            </a:r>
            <a:endParaRPr lang="en-CA" sz="1200" b="1">
              <a:solidFill>
                <a:srgbClr val="0070C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44097</xdr:colOff>
      <xdr:row>27</xdr:row>
      <xdr:rowOff>17639</xdr:rowOff>
    </xdr:from>
    <xdr:to>
      <xdr:col>2</xdr:col>
      <xdr:colOff>9346</xdr:colOff>
      <xdr:row>30</xdr:row>
      <xdr:rowOff>152828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olonne1 1">
              <a:extLst>
                <a:ext uri="{FF2B5EF4-FFF2-40B4-BE49-F238E27FC236}">
                  <a16:creationId xmlns:a16="http://schemas.microsoft.com/office/drawing/2014/main" id="{06794524-3B41-4BB6-BB23-71ACB44799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nne1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097" y="5494514"/>
              <a:ext cx="1658582" cy="6908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</xdr:col>
      <xdr:colOff>133350</xdr:colOff>
      <xdr:row>3</xdr:row>
      <xdr:rowOff>6414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1"/>
          <a:ext cx="1822450" cy="558863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290414</xdr:colOff>
      <xdr:row>4</xdr:row>
      <xdr:rowOff>96079</xdr:rowOff>
    </xdr:from>
    <xdr:to>
      <xdr:col>2</xdr:col>
      <xdr:colOff>34675</xdr:colOff>
      <xdr:row>6</xdr:row>
      <xdr:rowOff>112154</xdr:rowOff>
    </xdr:to>
    <xdr:sp macro="" textlink="">
      <xdr:nvSpPr>
        <xdr:cNvPr id="9" name="ZoneTexte 8">
          <a:hlinkClick xmlns:r="http://schemas.openxmlformats.org/officeDocument/2006/relationships" r:id="rId1" tooltip="Go To Statut Global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90414" y="832679"/>
          <a:ext cx="1433361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Statut Global</a:t>
          </a:r>
        </a:p>
      </xdr:txBody>
    </xdr:sp>
    <xdr:clientData/>
  </xdr:twoCellAnchor>
  <xdr:twoCellAnchor>
    <xdr:from>
      <xdr:col>0</xdr:col>
      <xdr:colOff>298727</xdr:colOff>
      <xdr:row>7</xdr:row>
      <xdr:rowOff>23103</xdr:rowOff>
    </xdr:from>
    <xdr:to>
      <xdr:col>2</xdr:col>
      <xdr:colOff>41089</xdr:colOff>
      <xdr:row>8</xdr:row>
      <xdr:rowOff>116435</xdr:rowOff>
    </xdr:to>
    <xdr:sp macro="" textlink="">
      <xdr:nvSpPr>
        <xdr:cNvPr id="10" name="ZoneTexte 9">
          <a:hlinkClick xmlns:r="http://schemas.openxmlformats.org/officeDocument/2006/relationships" r:id="rId2" tooltip="Go To TAF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298727" y="1312153"/>
          <a:ext cx="1431462" cy="487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>
                  <a:lumMod val="90000"/>
                </a:schemeClr>
              </a:solidFill>
            </a:rPr>
            <a:t>TAF</a:t>
          </a:r>
          <a:r>
            <a:rPr lang="fr-FR" sz="1100" b="1" baseline="0">
              <a:solidFill>
                <a:schemeClr val="bg2">
                  <a:lumMod val="90000"/>
                </a:schemeClr>
              </a:solidFill>
            </a:rPr>
            <a:t> </a:t>
          </a:r>
          <a:endParaRPr lang="fr-FR" sz="1100" b="1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365606</xdr:colOff>
      <xdr:row>14</xdr:row>
      <xdr:rowOff>51313</xdr:rowOff>
    </xdr:from>
    <xdr:to>
      <xdr:col>3</xdr:col>
      <xdr:colOff>613192</xdr:colOff>
      <xdr:row>15</xdr:row>
      <xdr:rowOff>171961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3007206" y="3099313"/>
          <a:ext cx="30473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102625</xdr:colOff>
      <xdr:row>4</xdr:row>
      <xdr:rowOff>149575</xdr:rowOff>
    </xdr:from>
    <xdr:to>
      <xdr:col>0</xdr:col>
      <xdr:colOff>301464</xdr:colOff>
      <xdr:row>5</xdr:row>
      <xdr:rowOff>162403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25" y="889804"/>
          <a:ext cx="198839" cy="197885"/>
        </a:xfrm>
        <a:prstGeom prst="rect">
          <a:avLst/>
        </a:prstGeom>
      </xdr:spPr>
    </xdr:pic>
    <xdr:clientData/>
  </xdr:twoCellAnchor>
  <xdr:twoCellAnchor editAs="oneCell">
    <xdr:from>
      <xdr:col>0</xdr:col>
      <xdr:colOff>101528</xdr:colOff>
      <xdr:row>7</xdr:row>
      <xdr:rowOff>61686</xdr:rowOff>
    </xdr:from>
    <xdr:to>
      <xdr:col>0</xdr:col>
      <xdr:colOff>319315</xdr:colOff>
      <xdr:row>8</xdr:row>
      <xdr:rowOff>60554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1528" y="1357086"/>
          <a:ext cx="217787" cy="181430"/>
        </a:xfrm>
        <a:prstGeom prst="rect">
          <a:avLst/>
        </a:prstGeom>
      </xdr:spPr>
    </xdr:pic>
    <xdr:clientData/>
  </xdr:twoCellAnchor>
  <xdr:twoCellAnchor>
    <xdr:from>
      <xdr:col>0</xdr:col>
      <xdr:colOff>306388</xdr:colOff>
      <xdr:row>8</xdr:row>
      <xdr:rowOff>87600</xdr:rowOff>
    </xdr:from>
    <xdr:to>
      <xdr:col>2</xdr:col>
      <xdr:colOff>50649</xdr:colOff>
      <xdr:row>10</xdr:row>
      <xdr:rowOff>106850</xdr:rowOff>
    </xdr:to>
    <xdr:sp macro="" textlink="">
      <xdr:nvSpPr>
        <xdr:cNvPr id="18" name="ZoneTexte 17">
          <a:hlinkClick xmlns:r="http://schemas.openxmlformats.org/officeDocument/2006/relationships" r:id="rId5" tooltip="Go To Clients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306388" y="1770350"/>
          <a:ext cx="1433361" cy="387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Clients</a:t>
          </a:r>
        </a:p>
      </xdr:txBody>
    </xdr:sp>
    <xdr:clientData/>
  </xdr:twoCellAnchor>
  <xdr:twoCellAnchor>
    <xdr:from>
      <xdr:col>0</xdr:col>
      <xdr:colOff>290414</xdr:colOff>
      <xdr:row>4</xdr:row>
      <xdr:rowOff>96079</xdr:rowOff>
    </xdr:from>
    <xdr:to>
      <xdr:col>2</xdr:col>
      <xdr:colOff>34675</xdr:colOff>
      <xdr:row>6</xdr:row>
      <xdr:rowOff>112154</xdr:rowOff>
    </xdr:to>
    <xdr:sp macro="" textlink="">
      <xdr:nvSpPr>
        <xdr:cNvPr id="57" name="ZoneTexte 56">
          <a:hlinkClick xmlns:r="http://schemas.openxmlformats.org/officeDocument/2006/relationships" r:id="rId1" tooltip="Go To Statut Global"/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290414" y="832679"/>
          <a:ext cx="1433361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Statut Global</a:t>
          </a:r>
        </a:p>
      </xdr:txBody>
    </xdr:sp>
    <xdr:clientData/>
  </xdr:twoCellAnchor>
  <xdr:twoCellAnchor>
    <xdr:from>
      <xdr:col>0</xdr:col>
      <xdr:colOff>298727</xdr:colOff>
      <xdr:row>7</xdr:row>
      <xdr:rowOff>23103</xdr:rowOff>
    </xdr:from>
    <xdr:to>
      <xdr:col>2</xdr:col>
      <xdr:colOff>41089</xdr:colOff>
      <xdr:row>8</xdr:row>
      <xdr:rowOff>116435</xdr:rowOff>
    </xdr:to>
    <xdr:sp macro="" textlink="">
      <xdr:nvSpPr>
        <xdr:cNvPr id="58" name="ZoneTexte 57">
          <a:hlinkClick xmlns:r="http://schemas.openxmlformats.org/officeDocument/2006/relationships" r:id="rId2" tooltip="Go To TAF"/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298727" y="1312153"/>
          <a:ext cx="1431462" cy="487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>
                  <a:lumMod val="90000"/>
                </a:schemeClr>
              </a:solidFill>
            </a:rPr>
            <a:t>TAF</a:t>
          </a:r>
          <a:r>
            <a:rPr lang="fr-FR" sz="1100" b="1" baseline="0">
              <a:solidFill>
                <a:schemeClr val="bg2">
                  <a:lumMod val="90000"/>
                </a:schemeClr>
              </a:solidFill>
            </a:rPr>
            <a:t> </a:t>
          </a:r>
          <a:endParaRPr lang="fr-FR" sz="1100" b="1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365606</xdr:colOff>
      <xdr:row>14</xdr:row>
      <xdr:rowOff>51313</xdr:rowOff>
    </xdr:from>
    <xdr:to>
      <xdr:col>3</xdr:col>
      <xdr:colOff>671551</xdr:colOff>
      <xdr:row>15</xdr:row>
      <xdr:rowOff>171961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3007206" y="3099313"/>
          <a:ext cx="30473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102625</xdr:colOff>
      <xdr:row>4</xdr:row>
      <xdr:rowOff>149575</xdr:rowOff>
    </xdr:from>
    <xdr:to>
      <xdr:col>0</xdr:col>
      <xdr:colOff>301464</xdr:colOff>
      <xdr:row>5</xdr:row>
      <xdr:rowOff>162403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2625" y="886175"/>
          <a:ext cx="198839" cy="196978"/>
        </a:xfrm>
        <a:prstGeom prst="rect">
          <a:avLst/>
        </a:prstGeom>
      </xdr:spPr>
    </xdr:pic>
    <xdr:clientData/>
  </xdr:twoCellAnchor>
  <xdr:twoCellAnchor editAs="oneCell">
    <xdr:from>
      <xdr:col>0</xdr:col>
      <xdr:colOff>83384</xdr:colOff>
      <xdr:row>7</xdr:row>
      <xdr:rowOff>32683</xdr:rowOff>
    </xdr:from>
    <xdr:to>
      <xdr:col>0</xdr:col>
      <xdr:colOff>333536</xdr:colOff>
      <xdr:row>8</xdr:row>
      <xdr:rowOff>69830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83384" y="1321733"/>
          <a:ext cx="250152" cy="219709"/>
        </a:xfrm>
        <a:prstGeom prst="rect">
          <a:avLst/>
        </a:prstGeom>
      </xdr:spPr>
    </xdr:pic>
    <xdr:clientData/>
  </xdr:twoCellAnchor>
  <xdr:twoCellAnchor>
    <xdr:from>
      <xdr:col>2</xdr:col>
      <xdr:colOff>82083</xdr:colOff>
      <xdr:row>8</xdr:row>
      <xdr:rowOff>117936</xdr:rowOff>
    </xdr:from>
    <xdr:to>
      <xdr:col>2</xdr:col>
      <xdr:colOff>128309</xdr:colOff>
      <xdr:row>9</xdr:row>
      <xdr:rowOff>142928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1772771" y="1792749"/>
          <a:ext cx="46226" cy="207554"/>
        </a:xfrm>
        <a:prstGeom prst="rect">
          <a:avLst/>
        </a:prstGeom>
        <a:solidFill>
          <a:srgbClr val="0071C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306388</xdr:colOff>
      <xdr:row>8</xdr:row>
      <xdr:rowOff>87600</xdr:rowOff>
    </xdr:from>
    <xdr:to>
      <xdr:col>2</xdr:col>
      <xdr:colOff>50649</xdr:colOff>
      <xdr:row>10</xdr:row>
      <xdr:rowOff>106850</xdr:rowOff>
    </xdr:to>
    <xdr:sp macro="" textlink="">
      <xdr:nvSpPr>
        <xdr:cNvPr id="66" name="ZoneTexte 65">
          <a:hlinkClick xmlns:r="http://schemas.openxmlformats.org/officeDocument/2006/relationships" r:id="rId5" tooltip="Go To Statut Global"/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 txBox="1"/>
      </xdr:nvSpPr>
      <xdr:spPr>
        <a:xfrm>
          <a:off x="306388" y="1770350"/>
          <a:ext cx="1433361" cy="387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Clients</a:t>
          </a:r>
        </a:p>
      </xdr:txBody>
    </xdr:sp>
    <xdr:clientData/>
  </xdr:twoCellAnchor>
  <xdr:twoCellAnchor>
    <xdr:from>
      <xdr:col>0</xdr:col>
      <xdr:colOff>290414</xdr:colOff>
      <xdr:row>4</xdr:row>
      <xdr:rowOff>96079</xdr:rowOff>
    </xdr:from>
    <xdr:to>
      <xdr:col>2</xdr:col>
      <xdr:colOff>34675</xdr:colOff>
      <xdr:row>6</xdr:row>
      <xdr:rowOff>112154</xdr:rowOff>
    </xdr:to>
    <xdr:sp macro="" textlink="">
      <xdr:nvSpPr>
        <xdr:cNvPr id="82" name="ZoneTexte 81">
          <a:hlinkClick xmlns:r="http://schemas.openxmlformats.org/officeDocument/2006/relationships" r:id="rId1" tooltip="Go To Statut Global"/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290414" y="832679"/>
          <a:ext cx="1433361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>
                  <a:lumMod val="90000"/>
                </a:schemeClr>
              </a:solidFill>
            </a:rPr>
            <a:t>Statut Global</a:t>
          </a:r>
        </a:p>
      </xdr:txBody>
    </xdr:sp>
    <xdr:clientData/>
  </xdr:twoCellAnchor>
  <xdr:twoCellAnchor>
    <xdr:from>
      <xdr:col>0</xdr:col>
      <xdr:colOff>298727</xdr:colOff>
      <xdr:row>7</xdr:row>
      <xdr:rowOff>23103</xdr:rowOff>
    </xdr:from>
    <xdr:to>
      <xdr:col>2</xdr:col>
      <xdr:colOff>41089</xdr:colOff>
      <xdr:row>8</xdr:row>
      <xdr:rowOff>116435</xdr:rowOff>
    </xdr:to>
    <xdr:sp macro="" textlink="">
      <xdr:nvSpPr>
        <xdr:cNvPr id="110" name="ZoneTexte 109">
          <a:hlinkClick xmlns:r="http://schemas.openxmlformats.org/officeDocument/2006/relationships" r:id="rId2" tooltip="Go To TAF"/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298727" y="1312153"/>
          <a:ext cx="1431462" cy="487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tx1"/>
              </a:solidFill>
            </a:rPr>
            <a:t>TAF</a:t>
          </a:r>
          <a:r>
            <a:rPr lang="fr-FR" sz="1100" b="1" baseline="0">
              <a:solidFill>
                <a:schemeClr val="bg2">
                  <a:lumMod val="90000"/>
                </a:schemeClr>
              </a:solidFill>
            </a:rPr>
            <a:t> </a:t>
          </a:r>
          <a:endParaRPr lang="fr-FR" sz="1100" b="1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365606</xdr:colOff>
      <xdr:row>14</xdr:row>
      <xdr:rowOff>51313</xdr:rowOff>
    </xdr:from>
    <xdr:to>
      <xdr:col>3</xdr:col>
      <xdr:colOff>613192</xdr:colOff>
      <xdr:row>15</xdr:row>
      <xdr:rowOff>171961</xdr:rowOff>
    </xdr:to>
    <xdr:sp macro="" textlink="">
      <xdr:nvSpPr>
        <xdr:cNvPr id="111" name="AutoShape 2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3007206" y="3099313"/>
          <a:ext cx="24758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102625</xdr:colOff>
      <xdr:row>4</xdr:row>
      <xdr:rowOff>149575</xdr:rowOff>
    </xdr:from>
    <xdr:to>
      <xdr:col>0</xdr:col>
      <xdr:colOff>301464</xdr:colOff>
      <xdr:row>5</xdr:row>
      <xdr:rowOff>162403</xdr:rowOff>
    </xdr:to>
    <xdr:pic>
      <xdr:nvPicPr>
        <xdr:cNvPr id="112" name="Image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2625" y="886175"/>
          <a:ext cx="198839" cy="196978"/>
        </a:xfrm>
        <a:prstGeom prst="rect">
          <a:avLst/>
        </a:prstGeom>
      </xdr:spPr>
    </xdr:pic>
    <xdr:clientData/>
  </xdr:twoCellAnchor>
  <xdr:twoCellAnchor editAs="oneCell">
    <xdr:from>
      <xdr:col>0</xdr:col>
      <xdr:colOff>88900</xdr:colOff>
      <xdr:row>7</xdr:row>
      <xdr:rowOff>15361</xdr:rowOff>
    </xdr:from>
    <xdr:to>
      <xdr:col>0</xdr:col>
      <xdr:colOff>336550</xdr:colOff>
      <xdr:row>8</xdr:row>
      <xdr:rowOff>71438</xdr:rowOff>
    </xdr:to>
    <xdr:pic>
      <xdr:nvPicPr>
        <xdr:cNvPr id="113" name="Image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900" y="1304411"/>
          <a:ext cx="247650" cy="238639"/>
        </a:xfrm>
        <a:prstGeom prst="rect">
          <a:avLst/>
        </a:prstGeom>
      </xdr:spPr>
    </xdr:pic>
    <xdr:clientData/>
  </xdr:twoCellAnchor>
  <xdr:twoCellAnchor>
    <xdr:from>
      <xdr:col>2</xdr:col>
      <xdr:colOff>90020</xdr:colOff>
      <xdr:row>7</xdr:row>
      <xdr:rowOff>63961</xdr:rowOff>
    </xdr:from>
    <xdr:to>
      <xdr:col>2</xdr:col>
      <xdr:colOff>136246</xdr:colOff>
      <xdr:row>7</xdr:row>
      <xdr:rowOff>273102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/>
      </xdr:nvSpPr>
      <xdr:spPr>
        <a:xfrm>
          <a:off x="1779120" y="1353011"/>
          <a:ext cx="46226" cy="209141"/>
        </a:xfrm>
        <a:prstGeom prst="rect">
          <a:avLst/>
        </a:prstGeom>
        <a:solidFill>
          <a:srgbClr val="0071C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290414</xdr:colOff>
      <xdr:row>4</xdr:row>
      <xdr:rowOff>96079</xdr:rowOff>
    </xdr:from>
    <xdr:to>
      <xdr:col>2</xdr:col>
      <xdr:colOff>34675</xdr:colOff>
      <xdr:row>6</xdr:row>
      <xdr:rowOff>112154</xdr:rowOff>
    </xdr:to>
    <xdr:sp macro="" textlink="">
      <xdr:nvSpPr>
        <xdr:cNvPr id="115" name="ZoneTexte 114">
          <a:hlinkClick xmlns:r="http://schemas.openxmlformats.org/officeDocument/2006/relationships" r:id="rId1" tooltip="Go To Statut Global"/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290414" y="832679"/>
          <a:ext cx="1433361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Statut Global</a:t>
          </a:r>
        </a:p>
      </xdr:txBody>
    </xdr:sp>
    <xdr:clientData/>
  </xdr:twoCellAnchor>
  <xdr:twoCellAnchor>
    <xdr:from>
      <xdr:col>0</xdr:col>
      <xdr:colOff>298727</xdr:colOff>
      <xdr:row>7</xdr:row>
      <xdr:rowOff>23103</xdr:rowOff>
    </xdr:from>
    <xdr:to>
      <xdr:col>2</xdr:col>
      <xdr:colOff>41089</xdr:colOff>
      <xdr:row>8</xdr:row>
      <xdr:rowOff>116435</xdr:rowOff>
    </xdr:to>
    <xdr:sp macro="" textlink="">
      <xdr:nvSpPr>
        <xdr:cNvPr id="116" name="ZoneTexte 115">
          <a:hlinkClick xmlns:r="http://schemas.openxmlformats.org/officeDocument/2006/relationships" r:id="rId2" tooltip="Go To TAF"/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298727" y="1312153"/>
          <a:ext cx="1431462" cy="487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tx1"/>
              </a:solidFill>
            </a:rPr>
            <a:t>TAF</a:t>
          </a:r>
          <a:r>
            <a:rPr lang="fr-FR" sz="1100" b="1" baseline="0">
              <a:solidFill>
                <a:schemeClr val="bg2">
                  <a:lumMod val="90000"/>
                </a:schemeClr>
              </a:solidFill>
            </a:rPr>
            <a:t> </a:t>
          </a:r>
          <a:endParaRPr lang="fr-FR" sz="1100" b="1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365606</xdr:colOff>
      <xdr:row>14</xdr:row>
      <xdr:rowOff>51313</xdr:rowOff>
    </xdr:from>
    <xdr:to>
      <xdr:col>3</xdr:col>
      <xdr:colOff>669964</xdr:colOff>
      <xdr:row>15</xdr:row>
      <xdr:rowOff>171961</xdr:rowOff>
    </xdr:to>
    <xdr:sp macro="" textlink="">
      <xdr:nvSpPr>
        <xdr:cNvPr id="117" name="AutoShape 2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3007206" y="3099313"/>
          <a:ext cx="303149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102625</xdr:colOff>
      <xdr:row>4</xdr:row>
      <xdr:rowOff>149575</xdr:rowOff>
    </xdr:from>
    <xdr:to>
      <xdr:col>0</xdr:col>
      <xdr:colOff>301464</xdr:colOff>
      <xdr:row>5</xdr:row>
      <xdr:rowOff>162403</xdr:rowOff>
    </xdr:to>
    <xdr:pic>
      <xdr:nvPicPr>
        <xdr:cNvPr id="118" name="Image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2625" y="886175"/>
          <a:ext cx="198839" cy="196978"/>
        </a:xfrm>
        <a:prstGeom prst="rect">
          <a:avLst/>
        </a:prstGeom>
      </xdr:spPr>
    </xdr:pic>
    <xdr:clientData/>
  </xdr:twoCellAnchor>
  <xdr:twoCellAnchor editAs="oneCell">
    <xdr:from>
      <xdr:col>0</xdr:col>
      <xdr:colOff>83384</xdr:colOff>
      <xdr:row>7</xdr:row>
      <xdr:rowOff>32683</xdr:rowOff>
    </xdr:from>
    <xdr:to>
      <xdr:col>0</xdr:col>
      <xdr:colOff>333536</xdr:colOff>
      <xdr:row>8</xdr:row>
      <xdr:rowOff>69830</xdr:rowOff>
    </xdr:to>
    <xdr:pic>
      <xdr:nvPicPr>
        <xdr:cNvPr id="119" name="Image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384" y="1321733"/>
          <a:ext cx="250152" cy="219709"/>
        </a:xfrm>
        <a:prstGeom prst="rect">
          <a:avLst/>
        </a:prstGeom>
      </xdr:spPr>
    </xdr:pic>
    <xdr:clientData/>
  </xdr:twoCellAnchor>
  <xdr:twoCellAnchor>
    <xdr:from>
      <xdr:col>2</xdr:col>
      <xdr:colOff>90020</xdr:colOff>
      <xdr:row>7</xdr:row>
      <xdr:rowOff>30623</xdr:rowOff>
    </xdr:from>
    <xdr:to>
      <xdr:col>2</xdr:col>
      <xdr:colOff>136246</xdr:colOff>
      <xdr:row>7</xdr:row>
      <xdr:rowOff>238177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/>
      </xdr:nvSpPr>
      <xdr:spPr>
        <a:xfrm>
          <a:off x="1779120" y="1319673"/>
          <a:ext cx="46226" cy="207554"/>
        </a:xfrm>
        <a:prstGeom prst="rect">
          <a:avLst/>
        </a:prstGeom>
        <a:solidFill>
          <a:srgbClr val="0071C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306388</xdr:colOff>
      <xdr:row>8</xdr:row>
      <xdr:rowOff>87600</xdr:rowOff>
    </xdr:from>
    <xdr:to>
      <xdr:col>2</xdr:col>
      <xdr:colOff>50649</xdr:colOff>
      <xdr:row>10</xdr:row>
      <xdr:rowOff>106850</xdr:rowOff>
    </xdr:to>
    <xdr:sp macro="" textlink="">
      <xdr:nvSpPr>
        <xdr:cNvPr id="121" name="ZoneTexte 120">
          <a:hlinkClick xmlns:r="http://schemas.openxmlformats.org/officeDocument/2006/relationships" r:id="rId5" tooltip="Go To Statut Global"/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306388" y="1770350"/>
          <a:ext cx="1433361" cy="387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Clients</a:t>
          </a:r>
        </a:p>
      </xdr:txBody>
    </xdr:sp>
    <xdr:clientData/>
  </xdr:twoCellAnchor>
  <xdr:twoCellAnchor editAs="oneCell">
    <xdr:from>
      <xdr:col>0</xdr:col>
      <xdr:colOff>119062</xdr:colOff>
      <xdr:row>8</xdr:row>
      <xdr:rowOff>113921</xdr:rowOff>
    </xdr:from>
    <xdr:to>
      <xdr:col>0</xdr:col>
      <xdr:colOff>309643</xdr:colOff>
      <xdr:row>9</xdr:row>
      <xdr:rowOff>135795</xdr:rowOff>
    </xdr:to>
    <xdr:pic>
      <xdr:nvPicPr>
        <xdr:cNvPr id="122" name="Imag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9062" y="1796671"/>
          <a:ext cx="190581" cy="206025"/>
        </a:xfrm>
        <a:prstGeom prst="rect">
          <a:avLst/>
        </a:prstGeom>
      </xdr:spPr>
    </xdr:pic>
    <xdr:clientData/>
  </xdr:twoCellAnchor>
  <xdr:twoCellAnchor>
    <xdr:from>
      <xdr:col>2</xdr:col>
      <xdr:colOff>543404</xdr:colOff>
      <xdr:row>25</xdr:row>
      <xdr:rowOff>76266</xdr:rowOff>
    </xdr:from>
    <xdr:to>
      <xdr:col>6</xdr:col>
      <xdr:colOff>116986</xdr:colOff>
      <xdr:row>26</xdr:row>
      <xdr:rowOff>160306</xdr:rowOff>
    </xdr:to>
    <xdr:sp macro="" textlink="">
      <xdr:nvSpPr>
        <xdr:cNvPr id="123" name="TextBox 31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 txBox="1"/>
      </xdr:nvSpPr>
      <xdr:spPr>
        <a:xfrm>
          <a:off x="2232504" y="5149916"/>
          <a:ext cx="2475532" cy="268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en-CA" sz="1200" b="1">
            <a:solidFill>
              <a:srgbClr val="0070C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222250</xdr:colOff>
      <xdr:row>7</xdr:row>
      <xdr:rowOff>317500</xdr:rowOff>
    </xdr:from>
    <xdr:to>
      <xdr:col>15</xdr:col>
      <xdr:colOff>349250</xdr:colOff>
      <xdr:row>11</xdr:row>
      <xdr:rowOff>101600</xdr:rowOff>
    </xdr:to>
    <xdr:graphicFrame macro="">
      <xdr:nvGraphicFramePr>
        <xdr:cNvPr id="124" name="Graphiqu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132291</xdr:colOff>
      <xdr:row>0</xdr:row>
      <xdr:rowOff>6614</xdr:rowOff>
    </xdr:from>
    <xdr:to>
      <xdr:col>27</xdr:col>
      <xdr:colOff>145521</xdr:colOff>
      <xdr:row>1</xdr:row>
      <xdr:rowOff>134937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1821391" y="6614"/>
          <a:ext cx="13665730" cy="31247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19844</xdr:colOff>
      <xdr:row>0</xdr:row>
      <xdr:rowOff>6615</xdr:rowOff>
    </xdr:from>
    <xdr:to>
      <xdr:col>2</xdr:col>
      <xdr:colOff>132291</xdr:colOff>
      <xdr:row>1</xdr:row>
      <xdr:rowOff>160084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>
          <a:off x="19844" y="6615"/>
          <a:ext cx="1801547" cy="33761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219636</xdr:colOff>
      <xdr:row>0</xdr:row>
      <xdr:rowOff>79375</xdr:rowOff>
    </xdr:from>
    <xdr:to>
      <xdr:col>1</xdr:col>
      <xdr:colOff>968374</xdr:colOff>
      <xdr:row>1</xdr:row>
      <xdr:rowOff>56029</xdr:rowOff>
    </xdr:to>
    <xdr:sp macro="" textlink="">
      <xdr:nvSpPr>
        <xdr:cNvPr id="127" name="Freeform 15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/>
      </xdr:nvSpPr>
      <xdr:spPr>
        <a:xfrm>
          <a:off x="219636" y="79375"/>
          <a:ext cx="1364688" cy="160804"/>
        </a:xfrm>
        <a:custGeom>
          <a:avLst/>
          <a:gdLst/>
          <a:ahLst/>
          <a:cxnLst/>
          <a:rect l="l" t="t" r="r" b="b"/>
          <a:pathLst>
            <a:path w="4379581" h="541297">
              <a:moveTo>
                <a:pt x="0" y="0"/>
              </a:moveTo>
              <a:lnTo>
                <a:pt x="4379581" y="0"/>
              </a:lnTo>
              <a:lnTo>
                <a:pt x="4379581" y="541297"/>
              </a:lnTo>
              <a:lnTo>
                <a:pt x="0" y="541297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</xdr:spPr>
      <xdr:txBody>
        <a:bodyPr wrap="square"/>
        <a:lstStyle/>
        <a:p>
          <a:endParaRPr lang="fr-FR"/>
        </a:p>
      </xdr:txBody>
    </xdr:sp>
    <xdr:clientData/>
  </xdr:twoCellAnchor>
  <xdr:twoCellAnchor>
    <xdr:from>
      <xdr:col>2</xdr:col>
      <xdr:colOff>139154</xdr:colOff>
      <xdr:row>0</xdr:row>
      <xdr:rowOff>11870</xdr:rowOff>
    </xdr:from>
    <xdr:to>
      <xdr:col>32</xdr:col>
      <xdr:colOff>436562</xdr:colOff>
      <xdr:row>1</xdr:row>
      <xdr:rowOff>107723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1828254" y="11870"/>
          <a:ext cx="17029658" cy="280003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2</xdr:col>
      <xdr:colOff>133350</xdr:colOff>
      <xdr:row>1</xdr:row>
      <xdr:rowOff>133403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/>
      </xdr:nvSpPr>
      <xdr:spPr>
        <a:xfrm>
          <a:off x="0" y="1"/>
          <a:ext cx="1822450" cy="317552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1</xdr:row>
      <xdr:rowOff>110433</xdr:rowOff>
    </xdr:from>
    <xdr:to>
      <xdr:col>2</xdr:col>
      <xdr:colOff>134099</xdr:colOff>
      <xdr:row>144</xdr:row>
      <xdr:rowOff>40135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0" y="291862"/>
          <a:ext cx="1819873" cy="25873987"/>
        </a:xfrm>
        <a:prstGeom prst="rect">
          <a:avLst/>
        </a:prstGeom>
        <a:solidFill>
          <a:schemeClr val="bg1"/>
        </a:solidFill>
        <a:ln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223463</xdr:colOff>
      <xdr:row>0</xdr:row>
      <xdr:rowOff>15876</xdr:rowOff>
    </xdr:from>
    <xdr:to>
      <xdr:col>9</xdr:col>
      <xdr:colOff>354972</xdr:colOff>
      <xdr:row>1</xdr:row>
      <xdr:rowOff>105353</xdr:rowOff>
    </xdr:to>
    <xdr:sp macro="" textlink="">
      <xdr:nvSpPr>
        <xdr:cNvPr id="131" name="ZoneTexte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 txBox="1"/>
      </xdr:nvSpPr>
      <xdr:spPr>
        <a:xfrm>
          <a:off x="1912563" y="15876"/>
          <a:ext cx="4633659" cy="273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5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TABLEAU</a:t>
          </a:r>
          <a:r>
            <a:rPr lang="fr-FR" sz="105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BORD SUIVI ET SYNTHESE</a:t>
          </a:r>
          <a:endParaRPr lang="fr-FR" sz="105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290414</xdr:colOff>
      <xdr:row>4</xdr:row>
      <xdr:rowOff>96079</xdr:rowOff>
    </xdr:from>
    <xdr:to>
      <xdr:col>2</xdr:col>
      <xdr:colOff>34675</xdr:colOff>
      <xdr:row>6</xdr:row>
      <xdr:rowOff>112154</xdr:rowOff>
    </xdr:to>
    <xdr:sp macro="" textlink="">
      <xdr:nvSpPr>
        <xdr:cNvPr id="132" name="ZoneTexte 131">
          <a:hlinkClick xmlns:r="http://schemas.openxmlformats.org/officeDocument/2006/relationships" r:id="rId1" tooltip="Go To Statut Global"/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 txBox="1"/>
      </xdr:nvSpPr>
      <xdr:spPr>
        <a:xfrm>
          <a:off x="290414" y="832679"/>
          <a:ext cx="1433361" cy="384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Statut Global</a:t>
          </a:r>
        </a:p>
      </xdr:txBody>
    </xdr:sp>
    <xdr:clientData/>
  </xdr:twoCellAnchor>
  <xdr:twoCellAnchor>
    <xdr:from>
      <xdr:col>0</xdr:col>
      <xdr:colOff>298727</xdr:colOff>
      <xdr:row>7</xdr:row>
      <xdr:rowOff>23103</xdr:rowOff>
    </xdr:from>
    <xdr:to>
      <xdr:col>2</xdr:col>
      <xdr:colOff>41089</xdr:colOff>
      <xdr:row>8</xdr:row>
      <xdr:rowOff>116435</xdr:rowOff>
    </xdr:to>
    <xdr:sp macro="" textlink="">
      <xdr:nvSpPr>
        <xdr:cNvPr id="133" name="ZoneTexte 132">
          <a:hlinkClick xmlns:r="http://schemas.openxmlformats.org/officeDocument/2006/relationships" r:id="rId2" tooltip="Go To TAF"/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 txBox="1"/>
      </xdr:nvSpPr>
      <xdr:spPr>
        <a:xfrm>
          <a:off x="298727" y="1312153"/>
          <a:ext cx="1431462" cy="487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bg2"/>
              </a:solidFill>
            </a:rPr>
            <a:t>TAF</a:t>
          </a:r>
          <a:r>
            <a:rPr lang="fr-FR" sz="1100" b="1" baseline="0">
              <a:solidFill>
                <a:schemeClr val="tx1"/>
              </a:solidFill>
            </a:rPr>
            <a:t> </a:t>
          </a:r>
          <a:endParaRPr lang="fr-FR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365606</xdr:colOff>
      <xdr:row>14</xdr:row>
      <xdr:rowOff>51313</xdr:rowOff>
    </xdr:from>
    <xdr:to>
      <xdr:col>3</xdr:col>
      <xdr:colOff>671551</xdr:colOff>
      <xdr:row>15</xdr:row>
      <xdr:rowOff>171961</xdr:rowOff>
    </xdr:to>
    <xdr:sp macro="" textlink="">
      <xdr:nvSpPr>
        <xdr:cNvPr id="134" name="AutoShape 2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3007206" y="3099313"/>
          <a:ext cx="304736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102625</xdr:colOff>
      <xdr:row>4</xdr:row>
      <xdr:rowOff>149575</xdr:rowOff>
    </xdr:from>
    <xdr:to>
      <xdr:col>0</xdr:col>
      <xdr:colOff>301464</xdr:colOff>
      <xdr:row>5</xdr:row>
      <xdr:rowOff>162403</xdr:rowOff>
    </xdr:to>
    <xdr:pic>
      <xdr:nvPicPr>
        <xdr:cNvPr id="135" name="Image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2625" y="886175"/>
          <a:ext cx="198839" cy="196978"/>
        </a:xfrm>
        <a:prstGeom prst="rect">
          <a:avLst/>
        </a:prstGeom>
      </xdr:spPr>
    </xdr:pic>
    <xdr:clientData/>
  </xdr:twoCellAnchor>
  <xdr:twoCellAnchor editAs="oneCell">
    <xdr:from>
      <xdr:col>0</xdr:col>
      <xdr:colOff>83384</xdr:colOff>
      <xdr:row>7</xdr:row>
      <xdr:rowOff>32683</xdr:rowOff>
    </xdr:from>
    <xdr:to>
      <xdr:col>0</xdr:col>
      <xdr:colOff>333536</xdr:colOff>
      <xdr:row>8</xdr:row>
      <xdr:rowOff>69830</xdr:rowOff>
    </xdr:to>
    <xdr:pic>
      <xdr:nvPicPr>
        <xdr:cNvPr id="136" name="Image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83384" y="1321733"/>
          <a:ext cx="250152" cy="219709"/>
        </a:xfrm>
        <a:prstGeom prst="rect">
          <a:avLst/>
        </a:prstGeom>
      </xdr:spPr>
    </xdr:pic>
    <xdr:clientData/>
  </xdr:twoCellAnchor>
  <xdr:twoCellAnchor>
    <xdr:from>
      <xdr:col>2</xdr:col>
      <xdr:colOff>90020</xdr:colOff>
      <xdr:row>9</xdr:row>
      <xdr:rowOff>79081</xdr:rowOff>
    </xdr:from>
    <xdr:to>
      <xdr:col>2</xdr:col>
      <xdr:colOff>136246</xdr:colOff>
      <xdr:row>10</xdr:row>
      <xdr:rowOff>102257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783353" y="1735603"/>
          <a:ext cx="46226" cy="207234"/>
        </a:xfrm>
        <a:prstGeom prst="rect">
          <a:avLst/>
        </a:prstGeom>
        <a:solidFill>
          <a:srgbClr val="0071C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276150</xdr:colOff>
      <xdr:row>9</xdr:row>
      <xdr:rowOff>80040</xdr:rowOff>
    </xdr:from>
    <xdr:to>
      <xdr:col>2</xdr:col>
      <xdr:colOff>20411</xdr:colOff>
      <xdr:row>11</xdr:row>
      <xdr:rowOff>99290</xdr:rowOff>
    </xdr:to>
    <xdr:sp macro="" textlink="">
      <xdr:nvSpPr>
        <xdr:cNvPr id="141" name="ZoneTexte 140">
          <a:hlinkClick xmlns:r="http://schemas.openxmlformats.org/officeDocument/2006/relationships" r:id="rId5" tooltip="Go To Statut Global"/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 txBox="1"/>
      </xdr:nvSpPr>
      <xdr:spPr>
        <a:xfrm>
          <a:off x="276150" y="1736562"/>
          <a:ext cx="1437594" cy="3873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ysClr val="windowText" lastClr="000000"/>
              </a:solidFill>
            </a:rPr>
            <a:t>Clients</a:t>
          </a:r>
        </a:p>
      </xdr:txBody>
    </xdr:sp>
    <xdr:clientData/>
  </xdr:twoCellAnchor>
  <xdr:twoCellAnchor editAs="oneCell">
    <xdr:from>
      <xdr:col>0</xdr:col>
      <xdr:colOff>95250</xdr:colOff>
      <xdr:row>9</xdr:row>
      <xdr:rowOff>88048</xdr:rowOff>
    </xdr:from>
    <xdr:to>
      <xdr:col>0</xdr:col>
      <xdr:colOff>301626</xdr:colOff>
      <xdr:row>10</xdr:row>
      <xdr:rowOff>108232</xdr:rowOff>
    </xdr:to>
    <xdr:pic>
      <xdr:nvPicPr>
        <xdr:cNvPr id="142" name="Image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" y="1744570"/>
          <a:ext cx="206376" cy="204242"/>
        </a:xfrm>
        <a:prstGeom prst="rect">
          <a:avLst/>
        </a:prstGeom>
      </xdr:spPr>
    </xdr:pic>
    <xdr:clientData/>
  </xdr:twoCellAnchor>
  <xdr:twoCellAnchor>
    <xdr:from>
      <xdr:col>0</xdr:col>
      <xdr:colOff>41778</xdr:colOff>
      <xdr:row>2</xdr:row>
      <xdr:rowOff>108619</xdr:rowOff>
    </xdr:from>
    <xdr:to>
      <xdr:col>1</xdr:col>
      <xdr:colOff>835528</xdr:colOff>
      <xdr:row>4</xdr:row>
      <xdr:rowOff>33422</xdr:rowOff>
    </xdr:to>
    <xdr:sp macro="" textlink="">
      <xdr:nvSpPr>
        <xdr:cNvPr id="146" name="ZoneTexte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 txBox="1"/>
      </xdr:nvSpPr>
      <xdr:spPr>
        <a:xfrm>
          <a:off x="41778" y="476919"/>
          <a:ext cx="1409700" cy="2931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>
              <a:solidFill>
                <a:srgbClr val="0071C2"/>
              </a:solidFill>
              <a:latin typeface="Arial" panose="020B0604020202020204" pitchFamily="34" charset="0"/>
              <a:cs typeface="Arial" panose="020B0604020202020204" pitchFamily="34" charset="0"/>
            </a:rPr>
            <a:t>Tableau de Bord</a:t>
          </a:r>
        </a:p>
      </xdr:txBody>
    </xdr:sp>
    <xdr:clientData/>
  </xdr:twoCellAnchor>
  <xdr:twoCellAnchor>
    <xdr:from>
      <xdr:col>0</xdr:col>
      <xdr:colOff>174625</xdr:colOff>
      <xdr:row>11</xdr:row>
      <xdr:rowOff>142119</xdr:rowOff>
    </xdr:from>
    <xdr:to>
      <xdr:col>1</xdr:col>
      <xdr:colOff>976313</xdr:colOff>
      <xdr:row>11</xdr:row>
      <xdr:rowOff>142119</xdr:rowOff>
    </xdr:to>
    <xdr:cxnSp macro="">
      <xdr:nvCxnSpPr>
        <xdr:cNvPr id="157" name="Connecteur droit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CxnSpPr/>
      </xdr:nvCxnSpPr>
      <xdr:spPr>
        <a:xfrm>
          <a:off x="174625" y="2166757"/>
          <a:ext cx="1418282" cy="0"/>
        </a:xfrm>
        <a:prstGeom prst="line">
          <a:avLst/>
        </a:prstGeom>
        <a:ln w="12700"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297469</xdr:colOff>
      <xdr:row>2</xdr:row>
      <xdr:rowOff>48893</xdr:rowOff>
    </xdr:from>
    <xdr:to>
      <xdr:col>3</xdr:col>
      <xdr:colOff>384342</xdr:colOff>
      <xdr:row>3</xdr:row>
      <xdr:rowOff>148589</xdr:rowOff>
    </xdr:to>
    <xdr:grpSp>
      <xdr:nvGrpSpPr>
        <xdr:cNvPr id="3097" name="Groupe 3096">
          <a:extLst>
            <a:ext uri="{FF2B5EF4-FFF2-40B4-BE49-F238E27FC236}">
              <a16:creationId xmlns:a16="http://schemas.microsoft.com/office/drawing/2014/main" id="{00000000-0008-0000-0200-0000190C0000}"/>
            </a:ext>
          </a:extLst>
        </xdr:cNvPr>
        <xdr:cNvGrpSpPr/>
      </xdr:nvGrpSpPr>
      <xdr:grpSpPr>
        <a:xfrm>
          <a:off x="1990802" y="417009"/>
          <a:ext cx="1043975" cy="283754"/>
          <a:chOff x="2413486" y="489856"/>
          <a:chExt cx="942943" cy="274736"/>
        </a:xfrm>
      </xdr:grpSpPr>
      <xdr:sp macro="" textlink="">
        <xdr:nvSpPr>
          <xdr:cNvPr id="158" name="ZoneText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 txBox="1"/>
        </xdr:nvSpPr>
        <xdr:spPr>
          <a:xfrm>
            <a:off x="2453173" y="489856"/>
            <a:ext cx="896776" cy="27473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fr-FR" sz="1200" b="1">
                <a:solidFill>
                  <a:srgbClr val="175395"/>
                </a:solidFill>
              </a:rPr>
              <a:t>CAF</a:t>
            </a:r>
          </a:p>
        </xdr:txBody>
      </xdr:sp>
      <xdr:sp macro="" textlink="">
        <xdr:nvSpPr>
          <xdr:cNvPr id="160" name="Rectangle : coins arrondis 159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413486" y="513671"/>
            <a:ext cx="942943" cy="244442"/>
          </a:xfrm>
          <a:prstGeom prst="roundRect">
            <a:avLst/>
          </a:prstGeom>
          <a:noFill/>
          <a:ln>
            <a:solidFill>
              <a:srgbClr val="17539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9</xdr:col>
      <xdr:colOff>968319</xdr:colOff>
      <xdr:row>2</xdr:row>
      <xdr:rowOff>80380</xdr:rowOff>
    </xdr:from>
    <xdr:to>
      <xdr:col>11</xdr:col>
      <xdr:colOff>669441</xdr:colOff>
      <xdr:row>4</xdr:row>
      <xdr:rowOff>61025</xdr:rowOff>
    </xdr:to>
    <xdr:grpSp>
      <xdr:nvGrpSpPr>
        <xdr:cNvPr id="3104" name="Groupe 3103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GrpSpPr/>
      </xdr:nvGrpSpPr>
      <xdr:grpSpPr>
        <a:xfrm>
          <a:off x="8993247" y="448496"/>
          <a:ext cx="1532498" cy="348761"/>
          <a:chOff x="2413486" y="498928"/>
          <a:chExt cx="1264957" cy="356140"/>
        </a:xfrm>
      </xdr:grpSpPr>
      <xdr:sp macro="" textlink="">
        <xdr:nvSpPr>
          <xdr:cNvPr id="3105" name="ZoneTexte 3104">
            <a:extLst>
              <a:ext uri="{FF2B5EF4-FFF2-40B4-BE49-F238E27FC236}">
                <a16:creationId xmlns:a16="http://schemas.microsoft.com/office/drawing/2014/main" id="{00000000-0008-0000-0200-0000210C0000}"/>
              </a:ext>
            </a:extLst>
          </xdr:cNvPr>
          <xdr:cNvSpPr txBox="1"/>
        </xdr:nvSpPr>
        <xdr:spPr>
          <a:xfrm>
            <a:off x="2444129" y="498928"/>
            <a:ext cx="1234314" cy="35614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200" b="1">
                <a:solidFill>
                  <a:srgbClr val="175395"/>
                </a:solidFill>
              </a:rPr>
              <a:t>Mnt</a:t>
            </a:r>
            <a:r>
              <a:rPr lang="fr-FR" sz="1200" b="1" baseline="0">
                <a:solidFill>
                  <a:srgbClr val="175395"/>
                </a:solidFill>
              </a:rPr>
              <a:t> ligne total</a:t>
            </a:r>
            <a:endParaRPr lang="fr-FR" sz="1200" b="1">
              <a:solidFill>
                <a:srgbClr val="175395"/>
              </a:solidFill>
            </a:endParaRPr>
          </a:p>
        </xdr:txBody>
      </xdr:sp>
      <xdr:sp macro="" textlink="">
        <xdr:nvSpPr>
          <xdr:cNvPr id="3106" name="Rectangle : coins arrondis 3105">
            <a:extLst>
              <a:ext uri="{FF2B5EF4-FFF2-40B4-BE49-F238E27FC236}">
                <a16:creationId xmlns:a16="http://schemas.microsoft.com/office/drawing/2014/main" id="{00000000-0008-0000-0200-0000220C0000}"/>
              </a:ext>
            </a:extLst>
          </xdr:cNvPr>
          <xdr:cNvSpPr/>
        </xdr:nvSpPr>
        <xdr:spPr>
          <a:xfrm>
            <a:off x="2413486" y="513669"/>
            <a:ext cx="1228777" cy="268825"/>
          </a:xfrm>
          <a:prstGeom prst="roundRect">
            <a:avLst/>
          </a:prstGeom>
          <a:noFill/>
          <a:ln>
            <a:solidFill>
              <a:srgbClr val="17539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0</xdr:colOff>
      <xdr:row>12</xdr:row>
      <xdr:rowOff>85127</xdr:rowOff>
    </xdr:from>
    <xdr:to>
      <xdr:col>2</xdr:col>
      <xdr:colOff>790300</xdr:colOff>
      <xdr:row>28</xdr:row>
      <xdr:rowOff>127795</xdr:rowOff>
    </xdr:to>
    <xdr:grpSp>
      <xdr:nvGrpSpPr>
        <xdr:cNvPr id="76" name="Groupe 75">
          <a:extLst>
            <a:ext uri="{FF2B5EF4-FFF2-40B4-BE49-F238E27FC236}">
              <a16:creationId xmlns:a16="http://schemas.microsoft.com/office/drawing/2014/main" id="{0D794850-9485-4355-5237-98C97EE7F5F1}"/>
            </a:ext>
          </a:extLst>
        </xdr:cNvPr>
        <xdr:cNvGrpSpPr/>
      </xdr:nvGrpSpPr>
      <xdr:grpSpPr>
        <a:xfrm>
          <a:off x="0" y="2293823"/>
          <a:ext cx="2483633" cy="2987595"/>
          <a:chOff x="0" y="2338930"/>
          <a:chExt cx="2480652" cy="3049917"/>
        </a:xfrm>
      </xdr:grpSpPr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56A66562-E9F7-38EE-EDFC-860B1A3CD3AE}"/>
              </a:ext>
            </a:extLst>
          </xdr:cNvPr>
          <xdr:cNvSpPr txBox="1"/>
        </xdr:nvSpPr>
        <xdr:spPr>
          <a:xfrm>
            <a:off x="31319" y="4784330"/>
            <a:ext cx="1606645" cy="230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200" b="1">
                <a:solidFill>
                  <a:srgbClr val="0071C2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Filtre par semaine</a:t>
            </a:r>
          </a:p>
        </xdr:txBody>
      </xdr:sp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7A2F5FE2-B73A-E4D3-3820-E9B693D75808}"/>
              </a:ext>
            </a:extLst>
          </xdr:cNvPr>
          <xdr:cNvGrpSpPr/>
        </xdr:nvGrpSpPr>
        <xdr:grpSpPr>
          <a:xfrm>
            <a:off x="42164" y="5158759"/>
            <a:ext cx="951250" cy="230088"/>
            <a:chOff x="81162" y="2576238"/>
            <a:chExt cx="954118" cy="228264"/>
          </a:xfrm>
        </xdr:grpSpPr>
        <xdr:sp macro="" textlink="">
          <xdr:nvSpPr>
            <xdr:cNvPr id="20" name="ZoneTexte 19">
              <a:extLst>
                <a:ext uri="{FF2B5EF4-FFF2-40B4-BE49-F238E27FC236}">
                  <a16:creationId xmlns:a16="http://schemas.microsoft.com/office/drawing/2014/main" id="{AB952563-59A7-C1F9-62E4-3026EF88A160}"/>
                </a:ext>
              </a:extLst>
            </xdr:cNvPr>
            <xdr:cNvSpPr txBox="1"/>
          </xdr:nvSpPr>
          <xdr:spPr>
            <a:xfrm>
              <a:off x="81162" y="2576238"/>
              <a:ext cx="954118" cy="22826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200" b="1"/>
                <a:t>Juin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7" name="mois  3">
                <a:extLst>
                  <a:ext uri="{FF2B5EF4-FFF2-40B4-BE49-F238E27FC236}">
                    <a16:creationId xmlns:a16="http://schemas.microsoft.com/office/drawing/2014/main" id="{737C3C97-BD92-38C1-2DDC-4D321126719A}"/>
                  </a:ext>
                </a:extLst>
              </xdr:cNvPr>
              <xdr:cNvGraphicFramePr/>
            </xdr:nvGraphicFramePr>
            <xdr:xfrm>
              <a:off x="0" y="2724938"/>
              <a:ext cx="1773081" cy="1865823"/>
            </xdr:xfrm>
            <a:graphic>
              <a:graphicData uri="http://schemas.microsoft.com/office/drawing/2010/slicer">
                <sle:slicer xmlns:sle="http://schemas.microsoft.com/office/drawing/2010/slicer" name="mois 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2671943"/>
                <a:ext cx="1775212" cy="182769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xdr:sp macro="" textlink="">
        <xdr:nvSpPr>
          <xdr:cNvPr id="19" name="TextBox 31">
            <a:extLst>
              <a:ext uri="{FF2B5EF4-FFF2-40B4-BE49-F238E27FC236}">
                <a16:creationId xmlns:a16="http://schemas.microsoft.com/office/drawing/2014/main" id="{4CA13497-366C-246D-B145-A72623BECC71}"/>
              </a:ext>
            </a:extLst>
          </xdr:cNvPr>
          <xdr:cNvSpPr txBox="1"/>
        </xdr:nvSpPr>
        <xdr:spPr>
          <a:xfrm>
            <a:off x="0" y="2338930"/>
            <a:ext cx="2480652" cy="2760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CA" sz="1200" b="1">
                <a:solidFill>
                  <a:srgbClr val="0070C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Filtre</a:t>
            </a:r>
            <a:r>
              <a:rPr lang="en-CA" sz="1200" b="1" baseline="0">
                <a:solidFill>
                  <a:srgbClr val="0070C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par mois </a:t>
            </a:r>
            <a:endParaRPr lang="en-CA" sz="1200" b="1">
              <a:solidFill>
                <a:srgbClr val="0070C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245980</xdr:colOff>
      <xdr:row>7</xdr:row>
      <xdr:rowOff>47594</xdr:rowOff>
    </xdr:from>
    <xdr:to>
      <xdr:col>12</xdr:col>
      <xdr:colOff>1292782</xdr:colOff>
      <xdr:row>34</xdr:row>
      <xdr:rowOff>105434</xdr:rowOff>
    </xdr:to>
    <xdr:grpSp>
      <xdr:nvGrpSpPr>
        <xdr:cNvPr id="77" name="Groupe 76">
          <a:extLst>
            <a:ext uri="{FF2B5EF4-FFF2-40B4-BE49-F238E27FC236}">
              <a16:creationId xmlns:a16="http://schemas.microsoft.com/office/drawing/2014/main" id="{7143DA03-832B-D4B3-91AA-A4C57466EF0B}"/>
            </a:ext>
          </a:extLst>
        </xdr:cNvPr>
        <xdr:cNvGrpSpPr/>
      </xdr:nvGrpSpPr>
      <xdr:grpSpPr>
        <a:xfrm>
          <a:off x="1939313" y="1336000"/>
          <a:ext cx="10166875" cy="5027405"/>
          <a:chOff x="2346830" y="1032467"/>
          <a:chExt cx="10167376" cy="5128654"/>
        </a:xfrm>
      </xdr:grpSpPr>
      <xdr:grpSp>
        <xdr:nvGrpSpPr>
          <xdr:cNvPr id="2" name="Groupe 1">
            <a:extLst>
              <a:ext uri="{FF2B5EF4-FFF2-40B4-BE49-F238E27FC236}">
                <a16:creationId xmlns:a16="http://schemas.microsoft.com/office/drawing/2014/main" id="{45FB5EF1-E274-4CCD-85F2-5610168750AF}"/>
              </a:ext>
            </a:extLst>
          </xdr:cNvPr>
          <xdr:cNvGrpSpPr/>
        </xdr:nvGrpSpPr>
        <xdr:grpSpPr>
          <a:xfrm>
            <a:off x="2346830" y="1032467"/>
            <a:ext cx="10167376" cy="5128654"/>
            <a:chOff x="1939697" y="1097576"/>
            <a:chExt cx="10415978" cy="5689430"/>
          </a:xfrm>
        </xdr:grpSpPr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249C61EB-A79D-D23D-87AA-3BD1D1512A5B}"/>
                </a:ext>
              </a:extLst>
            </xdr:cNvPr>
            <xdr:cNvGrpSpPr/>
          </xdr:nvGrpSpPr>
          <xdr:grpSpPr>
            <a:xfrm>
              <a:off x="2334606" y="1097576"/>
              <a:ext cx="10021069" cy="5354226"/>
              <a:chOff x="2203070" y="953567"/>
              <a:chExt cx="9989710" cy="5389284"/>
            </a:xfrm>
          </xdr:grpSpPr>
          <xdr:grpSp>
            <xdr:nvGrpSpPr>
              <xdr:cNvPr id="16" name="Groupe 15">
                <a:extLst>
                  <a:ext uri="{FF2B5EF4-FFF2-40B4-BE49-F238E27FC236}">
                    <a16:creationId xmlns:a16="http://schemas.microsoft.com/office/drawing/2014/main" id="{09E1E412-5E0F-89E1-8005-4BBBA1593A21}"/>
                  </a:ext>
                </a:extLst>
              </xdr:cNvPr>
              <xdr:cNvGrpSpPr/>
            </xdr:nvGrpSpPr>
            <xdr:grpSpPr>
              <a:xfrm>
                <a:off x="2203070" y="955986"/>
                <a:ext cx="1322756" cy="558646"/>
                <a:chOff x="2645338" y="13234557"/>
                <a:chExt cx="1834933" cy="916929"/>
              </a:xfrm>
              <a:solidFill>
                <a:schemeClr val="accent4">
                  <a:lumMod val="75000"/>
                </a:schemeClr>
              </a:solidFill>
            </xdr:grpSpPr>
            <xdr:sp macro="" textlink="traitement!$AV$4">
              <xdr:nvSpPr>
                <xdr:cNvPr id="71" name="Rectangle : coins arrondis 70">
                  <a:extLst>
                    <a:ext uri="{FF2B5EF4-FFF2-40B4-BE49-F238E27FC236}">
                      <a16:creationId xmlns:a16="http://schemas.microsoft.com/office/drawing/2014/main" id="{475D05C7-2850-5F86-6D42-DEEB819DE0CA}"/>
                    </a:ext>
                  </a:extLst>
                </xdr:cNvPr>
                <xdr:cNvSpPr/>
              </xdr:nvSpPr>
              <xdr:spPr>
                <a:xfrm>
                  <a:off x="2645338" y="13234557"/>
                  <a:ext cx="1834933" cy="916929"/>
                </a:xfrm>
                <a:prstGeom prst="roundRect">
                  <a:avLst/>
                </a:prstGeom>
                <a:grpFill/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b"/>
                <a:lstStyle/>
                <a:p>
                  <a:pPr marL="0" indent="0" algn="ctr"/>
                  <a:fld id="{AA03989F-7492-4331-A8DD-7472FE50619D}" type="TxLink">
                    <a:rPr lang="en-US" sz="1400" b="1" i="0" u="none" strike="noStrike">
                      <a:solidFill>
                        <a:srgbClr val="000000"/>
                      </a:solidFill>
                      <a:latin typeface="Calibri"/>
                      <a:ea typeface="+mn-ea"/>
                      <a:cs typeface="Calibri"/>
                    </a:rPr>
                    <a:pPr marL="0" indent="0" algn="ctr"/>
                    <a:t>143,8 M DH</a:t>
                  </a:fld>
                  <a:endParaRPr lang="fr-FR" sz="18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72" name="TextBox 31">
                  <a:extLst>
                    <a:ext uri="{FF2B5EF4-FFF2-40B4-BE49-F238E27FC236}">
                      <a16:creationId xmlns:a16="http://schemas.microsoft.com/office/drawing/2014/main" id="{C58566DE-0A66-E138-EECD-F9016E3B5EF7}"/>
                    </a:ext>
                  </a:extLst>
                </xdr:cNvPr>
                <xdr:cNvSpPr txBox="1"/>
              </xdr:nvSpPr>
              <xdr:spPr>
                <a:xfrm>
                  <a:off x="2675814" y="13400193"/>
                  <a:ext cx="1742068" cy="22652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CA" sz="1050" b="1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Garantie Valide</a:t>
                  </a:r>
                </a:p>
              </xdr:txBody>
            </xdr:sp>
          </xdr:grpSp>
          <xdr:grpSp>
            <xdr:nvGrpSpPr>
              <xdr:cNvPr id="21" name="Groupe 20">
                <a:extLst>
                  <a:ext uri="{FF2B5EF4-FFF2-40B4-BE49-F238E27FC236}">
                    <a16:creationId xmlns:a16="http://schemas.microsoft.com/office/drawing/2014/main" id="{DE30D43E-682E-3F16-DD8B-7EB5F44F9445}"/>
                  </a:ext>
                </a:extLst>
              </xdr:cNvPr>
              <xdr:cNvGrpSpPr/>
            </xdr:nvGrpSpPr>
            <xdr:grpSpPr>
              <a:xfrm>
                <a:off x="3619078" y="955983"/>
                <a:ext cx="1319796" cy="558646"/>
                <a:chOff x="2645338" y="13234552"/>
                <a:chExt cx="1834932" cy="916929"/>
              </a:xfrm>
              <a:solidFill>
                <a:schemeClr val="accent4">
                  <a:lumMod val="75000"/>
                </a:schemeClr>
              </a:solidFill>
            </xdr:grpSpPr>
            <xdr:sp macro="" textlink="traitement!AV3">
              <xdr:nvSpPr>
                <xdr:cNvPr id="69" name="Rectangle : coins arrondis 68">
                  <a:extLst>
                    <a:ext uri="{FF2B5EF4-FFF2-40B4-BE49-F238E27FC236}">
                      <a16:creationId xmlns:a16="http://schemas.microsoft.com/office/drawing/2014/main" id="{A1F43C1B-782C-DF93-BAF6-05F470DA3F25}"/>
                    </a:ext>
                  </a:extLst>
                </xdr:cNvPr>
                <xdr:cNvSpPr/>
              </xdr:nvSpPr>
              <xdr:spPr>
                <a:xfrm>
                  <a:off x="2645338" y="13234552"/>
                  <a:ext cx="1834932" cy="916929"/>
                </a:xfrm>
                <a:prstGeom prst="roundRect">
                  <a:avLst/>
                </a:prstGeom>
                <a:grpFill/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b"/>
                <a:lstStyle/>
                <a:p>
                  <a:pPr marL="0" indent="0" algn="ctr"/>
                  <a:fld id="{B225A651-C0C3-4893-B343-4A2527DFA5A9}" type="TxLink">
                    <a:rPr lang="en-US" sz="1400" b="1" i="0" u="none" strike="noStrike">
                      <a:solidFill>
                        <a:srgbClr val="000000"/>
                      </a:solidFill>
                      <a:latin typeface="Calibri"/>
                      <a:ea typeface="+mn-ea"/>
                      <a:cs typeface="Calibri"/>
                    </a:rPr>
                    <a:pPr marL="0" indent="0" algn="ctr"/>
                    <a:t>171,8 M DH</a:t>
                  </a:fld>
                  <a:endParaRPr lang="en-US" sz="1800" b="1">
                    <a:ea typeface="+mn-ea"/>
                  </a:endParaRPr>
                </a:p>
              </xdr:txBody>
            </xdr:sp>
            <xdr:sp macro="" textlink="">
              <xdr:nvSpPr>
                <xdr:cNvPr id="70" name="TextBox 31">
                  <a:extLst>
                    <a:ext uri="{FF2B5EF4-FFF2-40B4-BE49-F238E27FC236}">
                      <a16:creationId xmlns:a16="http://schemas.microsoft.com/office/drawing/2014/main" id="{36AD2455-23CA-918F-F7F8-6E1027C22AC4}"/>
                    </a:ext>
                  </a:extLst>
                </xdr:cNvPr>
                <xdr:cNvSpPr txBox="1"/>
              </xdr:nvSpPr>
              <xdr:spPr>
                <a:xfrm>
                  <a:off x="2825349" y="13394984"/>
                  <a:ext cx="1535261" cy="215088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CA" sz="1100" b="1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Garantie Echue</a:t>
                  </a:r>
                </a:p>
              </xdr:txBody>
            </xdr:sp>
          </xdr:grpSp>
          <xdr:grpSp>
            <xdr:nvGrpSpPr>
              <xdr:cNvPr id="22" name="Groupe 21">
                <a:extLst>
                  <a:ext uri="{FF2B5EF4-FFF2-40B4-BE49-F238E27FC236}">
                    <a16:creationId xmlns:a16="http://schemas.microsoft.com/office/drawing/2014/main" id="{4A659C6E-F1E2-46A4-7F86-26309A394934}"/>
                  </a:ext>
                </a:extLst>
              </xdr:cNvPr>
              <xdr:cNvGrpSpPr/>
            </xdr:nvGrpSpPr>
            <xdr:grpSpPr>
              <a:xfrm>
                <a:off x="4986475" y="955983"/>
                <a:ext cx="1408085" cy="558646"/>
                <a:chOff x="2582086" y="13234552"/>
                <a:chExt cx="1950995" cy="916929"/>
              </a:xfrm>
              <a:solidFill>
                <a:srgbClr val="92D050"/>
              </a:solidFill>
            </xdr:grpSpPr>
            <xdr:sp macro="" textlink="traitement!T5">
              <xdr:nvSpPr>
                <xdr:cNvPr id="67" name="Rectangle : coins arrondis 66">
                  <a:extLst>
                    <a:ext uri="{FF2B5EF4-FFF2-40B4-BE49-F238E27FC236}">
                      <a16:creationId xmlns:a16="http://schemas.microsoft.com/office/drawing/2014/main" id="{2FF41C20-0119-67EF-961A-AAF5683A1DC2}"/>
                    </a:ext>
                  </a:extLst>
                </xdr:cNvPr>
                <xdr:cNvSpPr/>
              </xdr:nvSpPr>
              <xdr:spPr>
                <a:xfrm>
                  <a:off x="2645338" y="13234552"/>
                  <a:ext cx="1834932" cy="916929"/>
                </a:xfrm>
                <a:prstGeom prst="roundRect">
                  <a:avLst/>
                </a:prstGeom>
                <a:grpFill/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b"/>
                <a:lstStyle/>
                <a:p>
                  <a:pPr marL="0" indent="0" algn="ctr"/>
                  <a:fld id="{699E23AD-7FF1-4205-9324-429A4BA58C84}" type="TxLink">
                    <a:rPr lang="en-US" sz="1400" b="1" i="0" u="none" strike="noStrike">
                      <a:solidFill>
                        <a:srgbClr val="000000"/>
                      </a:solidFill>
                      <a:latin typeface="Calibri"/>
                      <a:ea typeface="+mn-ea"/>
                      <a:cs typeface="Calibri"/>
                    </a:rPr>
                    <a:pPr marL="0" indent="0" algn="ctr"/>
                    <a:t>142,3 M DH</a:t>
                  </a:fld>
                  <a:endParaRPr lang="en-US" sz="1800" b="1">
                    <a:ea typeface="+mn-ea"/>
                  </a:endParaRPr>
                </a:p>
              </xdr:txBody>
            </xdr:sp>
            <xdr:sp macro="" textlink="">
              <xdr:nvSpPr>
                <xdr:cNvPr id="68" name="TextBox 31">
                  <a:extLst>
                    <a:ext uri="{FF2B5EF4-FFF2-40B4-BE49-F238E27FC236}">
                      <a16:creationId xmlns:a16="http://schemas.microsoft.com/office/drawing/2014/main" id="{C08A4A3B-DAD8-4FFF-933C-676792E3979F}"/>
                    </a:ext>
                  </a:extLst>
                </xdr:cNvPr>
                <xdr:cNvSpPr txBox="1"/>
              </xdr:nvSpPr>
              <xdr:spPr>
                <a:xfrm>
                  <a:off x="2582086" y="13243232"/>
                  <a:ext cx="1950995" cy="48522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CA" sz="1100" b="1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Acte</a:t>
                  </a:r>
                  <a:r>
                    <a:rPr lang="en-CA" sz="1100" b="1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 p</a:t>
                  </a:r>
                  <a:r>
                    <a:rPr lang="en-CA" sz="1100" b="1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hysique OK</a:t>
                  </a:r>
                </a:p>
              </xdr:txBody>
            </xdr:sp>
          </xdr:grpSp>
          <xdr:grpSp>
            <xdr:nvGrpSpPr>
              <xdr:cNvPr id="23" name="Groupe 22">
                <a:extLst>
                  <a:ext uri="{FF2B5EF4-FFF2-40B4-BE49-F238E27FC236}">
                    <a16:creationId xmlns:a16="http://schemas.microsoft.com/office/drawing/2014/main" id="{0DE4CE3A-0378-A0B3-F6A0-6D25F3AA7F5B}"/>
                  </a:ext>
                </a:extLst>
              </xdr:cNvPr>
              <xdr:cNvGrpSpPr/>
            </xdr:nvGrpSpPr>
            <xdr:grpSpPr>
              <a:xfrm>
                <a:off x="6530955" y="953567"/>
                <a:ext cx="1330016" cy="558652"/>
                <a:chOff x="2645338" y="13234552"/>
                <a:chExt cx="1853315" cy="916929"/>
              </a:xfrm>
              <a:solidFill>
                <a:srgbClr val="92D050"/>
              </a:solidFill>
            </xdr:grpSpPr>
            <xdr:sp macro="" textlink="traitement!T3">
              <xdr:nvSpPr>
                <xdr:cNvPr id="64" name="Rectangle : coins arrondis 63">
                  <a:hlinkClick xmlns:r="http://schemas.openxmlformats.org/officeDocument/2006/relationships" r:id="rId8"/>
                  <a:extLst>
                    <a:ext uri="{FF2B5EF4-FFF2-40B4-BE49-F238E27FC236}">
                      <a16:creationId xmlns:a16="http://schemas.microsoft.com/office/drawing/2014/main" id="{D06D0BD7-07C5-5A34-0C39-7D4FCBC7BDF7}"/>
                    </a:ext>
                  </a:extLst>
                </xdr:cNvPr>
                <xdr:cNvSpPr/>
              </xdr:nvSpPr>
              <xdr:spPr>
                <a:xfrm>
                  <a:off x="2645338" y="13234552"/>
                  <a:ext cx="1834932" cy="916929"/>
                </a:xfrm>
                <a:prstGeom prst="roundRect">
                  <a:avLst/>
                </a:prstGeom>
                <a:grpFill/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b"/>
                <a:lstStyle/>
                <a:p>
                  <a:pPr marL="0" indent="0" algn="ctr"/>
                  <a:fld id="{BC87C3C6-A8FA-4775-AADA-473C7E842CA6}" type="TxLink">
                    <a:rPr lang="en-US" sz="1400" b="1" i="0" u="none" strike="noStrike">
                      <a:solidFill>
                        <a:srgbClr val="000000"/>
                      </a:solidFill>
                      <a:latin typeface="Calibri"/>
                      <a:ea typeface="+mn-ea"/>
                      <a:cs typeface="Calibri"/>
                    </a:rPr>
                    <a:pPr marL="0" indent="0" algn="ctr"/>
                    <a:t>171,4 M DH</a:t>
                  </a:fld>
                  <a:endParaRPr lang="en-US" sz="1800" b="1">
                    <a:ea typeface="+mn-ea"/>
                  </a:endParaRPr>
                </a:p>
              </xdr:txBody>
            </xdr:sp>
            <xdr:sp macro="" textlink="">
              <xdr:nvSpPr>
                <xdr:cNvPr id="65" name="TextBox 31">
                  <a:extLst>
                    <a:ext uri="{FF2B5EF4-FFF2-40B4-BE49-F238E27FC236}">
                      <a16:creationId xmlns:a16="http://schemas.microsoft.com/office/drawing/2014/main" id="{F4A5C73F-7F9A-4E3C-46FE-781F70BD0871}"/>
                    </a:ext>
                  </a:extLst>
                </xdr:cNvPr>
                <xdr:cNvSpPr txBox="1"/>
              </xdr:nvSpPr>
              <xdr:spPr>
                <a:xfrm>
                  <a:off x="2775699" y="13371987"/>
                  <a:ext cx="1722954" cy="2995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en-CA" sz="1050" b="1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Acte physique</a:t>
                  </a:r>
                  <a:r>
                    <a:rPr lang="en-CA" sz="1050" b="1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 KO</a:t>
                  </a:r>
                  <a:endParaRPr lang="en-CA" sz="105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endParaRPr>
                </a:p>
              </xdr:txBody>
            </xdr:sp>
          </xdr:grpSp>
          <xdr:grpSp>
            <xdr:nvGrpSpPr>
              <xdr:cNvPr id="24" name="Groupe 23">
                <a:extLst>
                  <a:ext uri="{FF2B5EF4-FFF2-40B4-BE49-F238E27FC236}">
                    <a16:creationId xmlns:a16="http://schemas.microsoft.com/office/drawing/2014/main" id="{493648E2-DF01-7D82-85BD-986F1E13D607}"/>
                  </a:ext>
                </a:extLst>
              </xdr:cNvPr>
              <xdr:cNvGrpSpPr/>
            </xdr:nvGrpSpPr>
            <xdr:grpSpPr>
              <a:xfrm>
                <a:off x="7947170" y="955980"/>
                <a:ext cx="1320717" cy="558645"/>
                <a:chOff x="2645337" y="13234556"/>
                <a:chExt cx="1834931" cy="916928"/>
              </a:xfrm>
              <a:solidFill>
                <a:srgbClr val="00B0F0"/>
              </a:solidFill>
            </xdr:grpSpPr>
            <xdr:sp macro="" textlink="traitement!D5">
              <xdr:nvSpPr>
                <xdr:cNvPr id="56" name="Rectangle : coins arrondis 55">
                  <a:extLst>
                    <a:ext uri="{FF2B5EF4-FFF2-40B4-BE49-F238E27FC236}">
                      <a16:creationId xmlns:a16="http://schemas.microsoft.com/office/drawing/2014/main" id="{9667131E-94FD-A6B3-75ED-55CE253211F3}"/>
                    </a:ext>
                  </a:extLst>
                </xdr:cNvPr>
                <xdr:cNvSpPr/>
              </xdr:nvSpPr>
              <xdr:spPr>
                <a:xfrm>
                  <a:off x="2645337" y="13234556"/>
                  <a:ext cx="1834931" cy="916928"/>
                </a:xfrm>
                <a:prstGeom prst="roundRect">
                  <a:avLst/>
                </a:prstGeom>
                <a:grpFill/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b"/>
                <a:lstStyle/>
                <a:p>
                  <a:pPr marL="0" indent="0" algn="ctr"/>
                  <a:fld id="{22AAD038-7383-4245-B103-E925C6183EC2}" type="TxLink">
                    <a:rPr lang="en-US" sz="1400" b="1" i="0" u="none" strike="noStrike">
                      <a:solidFill>
                        <a:srgbClr val="000000"/>
                      </a:solidFill>
                      <a:latin typeface="Calibri"/>
                      <a:ea typeface="+mn-ea"/>
                      <a:cs typeface="Calibri"/>
                    </a:rPr>
                    <a:pPr marL="0" indent="0" algn="ctr"/>
                    <a:t>259,1 M DH</a:t>
                  </a:fld>
                  <a:endParaRPr lang="fr-FR" sz="14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63" name="TextBox 31">
                  <a:extLst>
                    <a:ext uri="{FF2B5EF4-FFF2-40B4-BE49-F238E27FC236}">
                      <a16:creationId xmlns:a16="http://schemas.microsoft.com/office/drawing/2014/main" id="{971B7DFC-FE67-0183-F2C4-A4630791140B}"/>
                    </a:ext>
                  </a:extLst>
                </xdr:cNvPr>
                <xdr:cNvSpPr txBox="1"/>
              </xdr:nvSpPr>
              <xdr:spPr>
                <a:xfrm>
                  <a:off x="2653986" y="13347648"/>
                  <a:ext cx="1780788" cy="306063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CA" sz="1100" b="1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Comission</a:t>
                  </a:r>
                  <a:r>
                    <a:rPr lang="en-CA" sz="1100" b="1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 payée</a:t>
                  </a:r>
                  <a:endParaRPr lang="en-CA" sz="110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endParaRPr>
                </a:p>
              </xdr:txBody>
            </xdr:sp>
          </xdr:grpSp>
          <xdr:grpSp>
            <xdr:nvGrpSpPr>
              <xdr:cNvPr id="25" name="Groupe 24">
                <a:extLst>
                  <a:ext uri="{FF2B5EF4-FFF2-40B4-BE49-F238E27FC236}">
                    <a16:creationId xmlns:a16="http://schemas.microsoft.com/office/drawing/2014/main" id="{FA1C499F-0ED3-FB12-4A33-A49CB436DF61}"/>
                  </a:ext>
                </a:extLst>
              </xdr:cNvPr>
              <xdr:cNvGrpSpPr/>
            </xdr:nvGrpSpPr>
            <xdr:grpSpPr>
              <a:xfrm>
                <a:off x="9361139" y="955983"/>
                <a:ext cx="1326272" cy="558646"/>
                <a:chOff x="2645337" y="13234552"/>
                <a:chExt cx="1836841" cy="916929"/>
              </a:xfrm>
              <a:solidFill>
                <a:srgbClr val="00B0F0"/>
              </a:solidFill>
            </xdr:grpSpPr>
            <xdr:sp macro="" textlink="traitement!D3">
              <xdr:nvSpPr>
                <xdr:cNvPr id="54" name="Rectangle : coins arrondis 53">
                  <a:extLst>
                    <a:ext uri="{FF2B5EF4-FFF2-40B4-BE49-F238E27FC236}">
                      <a16:creationId xmlns:a16="http://schemas.microsoft.com/office/drawing/2014/main" id="{BDA8E037-BDD1-5C59-E945-E649FC661D39}"/>
                    </a:ext>
                  </a:extLst>
                </xdr:cNvPr>
                <xdr:cNvSpPr/>
              </xdr:nvSpPr>
              <xdr:spPr>
                <a:xfrm>
                  <a:off x="2645337" y="13234552"/>
                  <a:ext cx="1834931" cy="916929"/>
                </a:xfrm>
                <a:prstGeom prst="roundRect">
                  <a:avLst/>
                </a:prstGeom>
                <a:grpFill/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b"/>
                <a:lstStyle/>
                <a:p>
                  <a:pPr marL="0" indent="0" algn="ctr"/>
                  <a:fld id="{7BA4DECC-4CF7-4862-927C-4E15FF3C65CA}" type="TxLink">
                    <a:rPr lang="en-US" sz="1400" b="1" i="0" u="none" strike="noStrike">
                      <a:solidFill>
                        <a:srgbClr val="000000"/>
                      </a:solidFill>
                      <a:latin typeface="Calibri"/>
                      <a:ea typeface="+mn-ea"/>
                      <a:cs typeface="Calibri"/>
                    </a:rPr>
                    <a:pPr marL="0" indent="0" algn="ctr"/>
                    <a:t>266,7 M DH</a:t>
                  </a:fld>
                  <a:endParaRPr lang="fr-FR" sz="14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55" name="TextBox 31">
                  <a:extLst>
                    <a:ext uri="{FF2B5EF4-FFF2-40B4-BE49-F238E27FC236}">
                      <a16:creationId xmlns:a16="http://schemas.microsoft.com/office/drawing/2014/main" id="{C79EF29D-3027-18D9-5A0D-D499A1696EE4}"/>
                    </a:ext>
                  </a:extLst>
                </xdr:cNvPr>
                <xdr:cNvSpPr txBox="1"/>
              </xdr:nvSpPr>
              <xdr:spPr>
                <a:xfrm>
                  <a:off x="2653986" y="13347646"/>
                  <a:ext cx="1828192" cy="321376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CA" sz="1100" b="1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Comission</a:t>
                  </a:r>
                  <a:r>
                    <a:rPr lang="en-CA" sz="1100" b="1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 impayée</a:t>
                  </a:r>
                  <a:endParaRPr lang="en-CA" sz="1100" b="1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endParaRPr>
                </a:p>
              </xdr:txBody>
            </xdr:sp>
          </xdr:grpSp>
          <xdr:grpSp>
            <xdr:nvGrpSpPr>
              <xdr:cNvPr id="26" name="Groupe 25">
                <a:extLst>
                  <a:ext uri="{FF2B5EF4-FFF2-40B4-BE49-F238E27FC236}">
                    <a16:creationId xmlns:a16="http://schemas.microsoft.com/office/drawing/2014/main" id="{B2FBD7A4-8E69-421D-B186-E2C7CF63761B}"/>
                  </a:ext>
                </a:extLst>
              </xdr:cNvPr>
              <xdr:cNvGrpSpPr/>
            </xdr:nvGrpSpPr>
            <xdr:grpSpPr>
              <a:xfrm>
                <a:off x="10780665" y="955983"/>
                <a:ext cx="1332509" cy="558646"/>
                <a:chOff x="2645337" y="13234552"/>
                <a:chExt cx="1834931" cy="916929"/>
              </a:xfrm>
              <a:solidFill>
                <a:schemeClr val="accent3">
                  <a:lumMod val="75000"/>
                </a:schemeClr>
              </a:solidFill>
            </xdr:grpSpPr>
            <xdr:sp macro="" textlink="traitement!AL2">
              <xdr:nvSpPr>
                <xdr:cNvPr id="52" name="Rectangle : coins arrondis 51">
                  <a:extLst>
                    <a:ext uri="{FF2B5EF4-FFF2-40B4-BE49-F238E27FC236}">
                      <a16:creationId xmlns:a16="http://schemas.microsoft.com/office/drawing/2014/main" id="{048376FC-AD1E-AC28-DEDD-7C88EA867E93}"/>
                    </a:ext>
                  </a:extLst>
                </xdr:cNvPr>
                <xdr:cNvSpPr/>
              </xdr:nvSpPr>
              <xdr:spPr>
                <a:xfrm>
                  <a:off x="2645337" y="13234552"/>
                  <a:ext cx="1834931" cy="916929"/>
                </a:xfrm>
                <a:prstGeom prst="roundRect">
                  <a:avLst/>
                </a:prstGeom>
                <a:grpFill/>
                <a:ln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b"/>
                <a:lstStyle/>
                <a:p>
                  <a:pPr marL="0" indent="0" algn="ctr"/>
                  <a:fld id="{2A2F2827-96AF-4B96-A27C-DA8A68A2C7BB}" type="TxLink">
                    <a:rPr lang="en-US" sz="1400" b="1" i="0" u="none" strike="noStrike">
                      <a:solidFill>
                        <a:srgbClr val="000000"/>
                      </a:solidFill>
                      <a:latin typeface="Calibri"/>
                      <a:ea typeface="+mn-ea"/>
                      <a:cs typeface="Calibri"/>
                    </a:rPr>
                    <a:pPr marL="0" indent="0" algn="ctr"/>
                    <a:t>146,6 M DH</a:t>
                  </a:fld>
                  <a:endParaRPr lang="en-US" sz="2400" b="1">
                    <a:ea typeface="+mn-ea"/>
                  </a:endParaRPr>
                </a:p>
              </xdr:txBody>
            </xdr:sp>
            <xdr:sp macro="" textlink="">
              <xdr:nvSpPr>
                <xdr:cNvPr id="53" name="TextBox 31">
                  <a:extLst>
                    <a:ext uri="{FF2B5EF4-FFF2-40B4-BE49-F238E27FC236}">
                      <a16:creationId xmlns:a16="http://schemas.microsoft.com/office/drawing/2014/main" id="{E7D8695A-BB78-1B22-EE3E-9D77B4B038D9}"/>
                    </a:ext>
                  </a:extLst>
                </xdr:cNvPr>
                <xdr:cNvSpPr txBox="1"/>
              </xdr:nvSpPr>
              <xdr:spPr>
                <a:xfrm>
                  <a:off x="2653988" y="13347646"/>
                  <a:ext cx="1810664" cy="273917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CA" sz="1100" b="1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rPr>
                    <a:t>Garantie a REN</a:t>
                  </a:r>
                </a:p>
              </xdr:txBody>
            </xdr:sp>
          </xdr:grpSp>
          <xdr:grpSp>
            <xdr:nvGrpSpPr>
              <xdr:cNvPr id="27" name="Groupe 26">
                <a:extLst>
                  <a:ext uri="{FF2B5EF4-FFF2-40B4-BE49-F238E27FC236}">
                    <a16:creationId xmlns:a16="http://schemas.microsoft.com/office/drawing/2014/main" id="{2FB0A6CF-8F09-75D6-6A1F-94824F033FFA}"/>
                  </a:ext>
                </a:extLst>
              </xdr:cNvPr>
              <xdr:cNvGrpSpPr/>
            </xdr:nvGrpSpPr>
            <xdr:grpSpPr>
              <a:xfrm>
                <a:off x="7561488" y="1773552"/>
                <a:ext cx="4602851" cy="2093343"/>
                <a:chOff x="8204426" y="1781490"/>
                <a:chExt cx="4602851" cy="2093343"/>
              </a:xfrm>
            </xdr:grpSpPr>
            <xdr:grpSp>
              <xdr:nvGrpSpPr>
                <xdr:cNvPr id="47" name="Groupe 46">
                  <a:extLst>
                    <a:ext uri="{FF2B5EF4-FFF2-40B4-BE49-F238E27FC236}">
                      <a16:creationId xmlns:a16="http://schemas.microsoft.com/office/drawing/2014/main" id="{82B52897-C878-ECDA-4AE2-0D97BE1AFC5C}"/>
                    </a:ext>
                  </a:extLst>
                </xdr:cNvPr>
                <xdr:cNvGrpSpPr/>
              </xdr:nvGrpSpPr>
              <xdr:grpSpPr>
                <a:xfrm>
                  <a:off x="8204426" y="1781490"/>
                  <a:ext cx="4602851" cy="2093343"/>
                  <a:chOff x="2143461" y="3467101"/>
                  <a:chExt cx="4928851" cy="2885167"/>
                </a:xfrm>
              </xdr:grpSpPr>
              <xdr:sp macro="" textlink="">
                <xdr:nvSpPr>
                  <xdr:cNvPr id="49" name="Rectangle : coins arrondis 48">
                    <a:extLst>
                      <a:ext uri="{FF2B5EF4-FFF2-40B4-BE49-F238E27FC236}">
                        <a16:creationId xmlns:a16="http://schemas.microsoft.com/office/drawing/2014/main" id="{A41D0C8E-96C3-89C7-5A0B-7034B94305A2}"/>
                      </a:ext>
                    </a:extLst>
                  </xdr:cNvPr>
                  <xdr:cNvSpPr/>
                </xdr:nvSpPr>
                <xdr:spPr>
                  <a:xfrm>
                    <a:off x="2143461" y="3467101"/>
                    <a:ext cx="4928851" cy="2885167"/>
                  </a:xfrm>
                  <a:prstGeom prst="roundRect">
                    <a:avLst/>
                  </a:prstGeom>
                  <a:solidFill>
                    <a:srgbClr val="E2F1CB"/>
                  </a:solidFill>
                  <a:ln>
                    <a:noFill/>
                  </a:ln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marL="0" indent="0" algn="l"/>
                    <a:endParaRPr lang="fr-FR"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endParaRPr>
                  </a:p>
                </xdr:txBody>
              </xdr:sp>
              <xdr:sp macro="" textlink="">
                <xdr:nvSpPr>
                  <xdr:cNvPr id="50" name="TextBox 31">
                    <a:extLst>
                      <a:ext uri="{FF2B5EF4-FFF2-40B4-BE49-F238E27FC236}">
                        <a16:creationId xmlns:a16="http://schemas.microsoft.com/office/drawing/2014/main" id="{C9A6D96A-7D52-0B14-6DA7-041C94CEB808}"/>
                      </a:ext>
                    </a:extLst>
                  </xdr:cNvPr>
                  <xdr:cNvSpPr txBox="1"/>
                </xdr:nvSpPr>
                <xdr:spPr>
                  <a:xfrm>
                    <a:off x="2387598" y="3664251"/>
                    <a:ext cx="2483001" cy="45075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l"/>
                    <a:r>
                      <a:rPr lang="en-CA" sz="1400" b="1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rPr>
                      <a:t>Statut Acte Physique </a:t>
                    </a:r>
                  </a:p>
                </xdr:txBody>
              </xdr:sp>
              <xdr:pic>
                <xdr:nvPicPr>
                  <xdr:cNvPr id="51" name="Image 50">
                    <a:extLst>
                      <a:ext uri="{FF2B5EF4-FFF2-40B4-BE49-F238E27FC236}">
                        <a16:creationId xmlns:a16="http://schemas.microsoft.com/office/drawing/2014/main" id="{452B54C6-C46E-07E9-1F24-61894E211391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9">
                    <a:lum bright="70000" contrast="-70000"/>
                  </a:blip>
                  <a:stretch>
                    <a:fillRect/>
                  </a:stretch>
                </xdr:blipFill>
                <xdr:spPr>
                  <a:xfrm>
                    <a:off x="6475468" y="3692817"/>
                    <a:ext cx="339824" cy="345644"/>
                  </a:xfrm>
                  <a:prstGeom prst="rect">
                    <a:avLst/>
                  </a:prstGeom>
                  <a:ln>
                    <a:noFill/>
                  </a:ln>
                </xdr:spPr>
              </xdr:pic>
            </xdr:grpSp>
            <xdr:graphicFrame macro="">
              <xdr:nvGraphicFramePr>
                <xdr:cNvPr id="48" name="Graphique 47">
                  <a:extLst>
                    <a:ext uri="{FF2B5EF4-FFF2-40B4-BE49-F238E27FC236}">
                      <a16:creationId xmlns:a16="http://schemas.microsoft.com/office/drawing/2014/main" id="{FDCAACFE-398F-F667-66A2-0BC9F68CEFE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027751" y="2273886"/>
                <a:ext cx="3063345" cy="1466327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0"/>
                </a:graphicData>
              </a:graphic>
            </xdr:graphicFrame>
          </xdr:grpSp>
          <xdr:grpSp>
            <xdr:nvGrpSpPr>
              <xdr:cNvPr id="28" name="Groupe 27">
                <a:extLst>
                  <a:ext uri="{FF2B5EF4-FFF2-40B4-BE49-F238E27FC236}">
                    <a16:creationId xmlns:a16="http://schemas.microsoft.com/office/drawing/2014/main" id="{B053C478-BDB3-6813-A5AC-42FD7A1A0171}"/>
                  </a:ext>
                </a:extLst>
              </xdr:cNvPr>
              <xdr:cNvGrpSpPr/>
            </xdr:nvGrpSpPr>
            <xdr:grpSpPr>
              <a:xfrm>
                <a:off x="7580556" y="4166709"/>
                <a:ext cx="4612224" cy="2084951"/>
                <a:chOff x="2765261" y="4244354"/>
                <a:chExt cx="4904152" cy="2460723"/>
              </a:xfrm>
            </xdr:grpSpPr>
            <xdr:grpSp>
              <xdr:nvGrpSpPr>
                <xdr:cNvPr id="43" name="Groupe 42">
                  <a:extLst>
                    <a:ext uri="{FF2B5EF4-FFF2-40B4-BE49-F238E27FC236}">
                      <a16:creationId xmlns:a16="http://schemas.microsoft.com/office/drawing/2014/main" id="{8DFEBE3D-E018-505E-8739-836A570ECFFD}"/>
                    </a:ext>
                  </a:extLst>
                </xdr:cNvPr>
                <xdr:cNvGrpSpPr/>
              </xdr:nvGrpSpPr>
              <xdr:grpSpPr>
                <a:xfrm>
                  <a:off x="2765261" y="4244354"/>
                  <a:ext cx="4904152" cy="2460723"/>
                  <a:chOff x="2143463" y="3467098"/>
                  <a:chExt cx="4799170" cy="3074040"/>
                </a:xfrm>
              </xdr:grpSpPr>
              <xdr:sp macro="" textlink="">
                <xdr:nvSpPr>
                  <xdr:cNvPr id="45" name="Rectangle : coins arrondis 44">
                    <a:extLst>
                      <a:ext uri="{FF2B5EF4-FFF2-40B4-BE49-F238E27FC236}">
                        <a16:creationId xmlns:a16="http://schemas.microsoft.com/office/drawing/2014/main" id="{D54FC204-B976-415D-96BE-45C74CD91312}"/>
                      </a:ext>
                    </a:extLst>
                  </xdr:cNvPr>
                  <xdr:cNvSpPr/>
                </xdr:nvSpPr>
                <xdr:spPr>
                  <a:xfrm>
                    <a:off x="2143463" y="3467098"/>
                    <a:ext cx="4799170" cy="3074040"/>
                  </a:xfrm>
                  <a:prstGeom prst="roundRect">
                    <a:avLst/>
                  </a:prstGeom>
                  <a:solidFill>
                    <a:schemeClr val="bg2"/>
                  </a:solidFill>
                  <a:ln>
                    <a:noFill/>
                  </a:ln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marL="0" indent="0" algn="l"/>
                    <a:endParaRPr lang="fr-FR" sz="110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endParaRPr>
                  </a:p>
                </xdr:txBody>
              </xdr:sp>
              <xdr:sp macro="" textlink="">
                <xdr:nvSpPr>
                  <xdr:cNvPr id="46" name="TextBox 31">
                    <a:extLst>
                      <a:ext uri="{FF2B5EF4-FFF2-40B4-BE49-F238E27FC236}">
                        <a16:creationId xmlns:a16="http://schemas.microsoft.com/office/drawing/2014/main" id="{E60DE1E7-2401-3933-8AF4-923C7DEA2F7A}"/>
                      </a:ext>
                    </a:extLst>
                  </xdr:cNvPr>
                  <xdr:cNvSpPr txBox="1"/>
                </xdr:nvSpPr>
                <xdr:spPr>
                  <a:xfrm>
                    <a:off x="2387597" y="3664250"/>
                    <a:ext cx="2483001" cy="39541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l"/>
                    <a:r>
                      <a:rPr lang="en-CA" sz="1400" b="1">
                        <a:solidFill>
                          <a:schemeClr val="bg2">
                            <a:lumMod val="25000"/>
                          </a:schemeClr>
                        </a:solidFill>
                        <a:latin typeface="+mn-lt"/>
                        <a:ea typeface="+mn-ea"/>
                        <a:cs typeface="+mn-cs"/>
                      </a:rPr>
                      <a:t>Garantie</a:t>
                    </a:r>
                    <a:r>
                      <a:rPr lang="en-CA" sz="1400" b="1" baseline="0">
                        <a:solidFill>
                          <a:schemeClr val="bg2">
                            <a:lumMod val="25000"/>
                          </a:schemeClr>
                        </a:solidFill>
                        <a:latin typeface="+mn-lt"/>
                        <a:ea typeface="+mn-ea"/>
                        <a:cs typeface="+mn-cs"/>
                      </a:rPr>
                      <a:t> à renouveller</a:t>
                    </a:r>
                    <a:endParaRPr lang="en-CA" sz="1400" b="1">
                      <a:solidFill>
                        <a:schemeClr val="bg2">
                          <a:lumMod val="25000"/>
                        </a:schemeClr>
                      </a:solidFill>
                      <a:latin typeface="+mn-lt"/>
                      <a:ea typeface="+mn-ea"/>
                      <a:cs typeface="+mn-cs"/>
                    </a:endParaRPr>
                  </a:p>
                </xdr:txBody>
              </xdr:sp>
            </xdr:grpSp>
            <xdr:pic>
              <xdr:nvPicPr>
                <xdr:cNvPr id="44" name="Image 43">
                  <a:extLst>
                    <a:ext uri="{FF2B5EF4-FFF2-40B4-BE49-F238E27FC236}">
                      <a16:creationId xmlns:a16="http://schemas.microsoft.com/office/drawing/2014/main" id="{28274901-F040-9F18-2781-EA129BD63992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>
                  <a:lum bright="70000" contrast="-70000"/>
                </a:blip>
                <a:stretch>
                  <a:fillRect/>
                </a:stretch>
              </xdr:blipFill>
              <xdr:spPr>
                <a:xfrm>
                  <a:off x="7041298" y="4497854"/>
                  <a:ext cx="410026" cy="312901"/>
                </a:xfrm>
                <a:prstGeom prst="rect">
                  <a:avLst/>
                </a:prstGeom>
                <a:ln>
                  <a:noFill/>
                </a:ln>
              </xdr:spPr>
            </xdr:pic>
          </xdr:grpSp>
          <xdr:grpSp>
            <xdr:nvGrpSpPr>
              <xdr:cNvPr id="29" name="Groupe 28">
                <a:extLst>
                  <a:ext uri="{FF2B5EF4-FFF2-40B4-BE49-F238E27FC236}">
                    <a16:creationId xmlns:a16="http://schemas.microsoft.com/office/drawing/2014/main" id="{F61D8ABF-3B2A-51EE-0153-69C0859549B8}"/>
                  </a:ext>
                </a:extLst>
              </xdr:cNvPr>
              <xdr:cNvGrpSpPr/>
            </xdr:nvGrpSpPr>
            <xdr:grpSpPr>
              <a:xfrm>
                <a:off x="2346342" y="1800399"/>
                <a:ext cx="4623870" cy="2085437"/>
                <a:chOff x="2933718" y="1784524"/>
                <a:chExt cx="4623870" cy="2085437"/>
              </a:xfrm>
            </xdr:grpSpPr>
            <xdr:grpSp>
              <xdr:nvGrpSpPr>
                <xdr:cNvPr id="37" name="Groupe 36">
                  <a:extLst>
                    <a:ext uri="{FF2B5EF4-FFF2-40B4-BE49-F238E27FC236}">
                      <a16:creationId xmlns:a16="http://schemas.microsoft.com/office/drawing/2014/main" id="{17DE0198-78A5-5636-F6C7-E42C0E84F3A1}"/>
                    </a:ext>
                  </a:extLst>
                </xdr:cNvPr>
                <xdr:cNvGrpSpPr/>
              </xdr:nvGrpSpPr>
              <xdr:grpSpPr>
                <a:xfrm>
                  <a:off x="2933718" y="1784524"/>
                  <a:ext cx="4623870" cy="2085437"/>
                  <a:chOff x="8054354" y="4245472"/>
                  <a:chExt cx="4756877" cy="2311245"/>
                </a:xfrm>
              </xdr:grpSpPr>
              <xdr:grpSp>
                <xdr:nvGrpSpPr>
                  <xdr:cNvPr id="39" name="Groupe 38">
                    <a:extLst>
                      <a:ext uri="{FF2B5EF4-FFF2-40B4-BE49-F238E27FC236}">
                        <a16:creationId xmlns:a16="http://schemas.microsoft.com/office/drawing/2014/main" id="{0E689A93-B9A3-19FC-89FE-B03B84418898}"/>
                      </a:ext>
                    </a:extLst>
                  </xdr:cNvPr>
                  <xdr:cNvGrpSpPr/>
                </xdr:nvGrpSpPr>
                <xdr:grpSpPr>
                  <a:xfrm>
                    <a:off x="8054354" y="4245472"/>
                    <a:ext cx="4756877" cy="2311245"/>
                    <a:chOff x="2118934" y="1575749"/>
                    <a:chExt cx="2879742" cy="955025"/>
                  </a:xfrm>
                </xdr:grpSpPr>
                <xdr:sp macro="" textlink="">
                  <xdr:nvSpPr>
                    <xdr:cNvPr id="41" name="Rectangle : coins arrondis 40">
                      <a:extLst>
                        <a:ext uri="{FF2B5EF4-FFF2-40B4-BE49-F238E27FC236}">
                          <a16:creationId xmlns:a16="http://schemas.microsoft.com/office/drawing/2014/main" id="{646577B2-9BAC-19DC-CE94-68ADD73C3B13}"/>
                        </a:ext>
                      </a:extLst>
                    </xdr:cNvPr>
                    <xdr:cNvSpPr/>
                  </xdr:nvSpPr>
                  <xdr:spPr>
                    <a:xfrm>
                      <a:off x="2118934" y="1575749"/>
                      <a:ext cx="2879742" cy="955025"/>
                    </a:xfrm>
                    <a:prstGeom prst="roundRect">
                      <a:avLst/>
                    </a:prstGeom>
                    <a:solidFill>
                      <a:srgbClr val="F4EAB6"/>
                    </a:solidFill>
                    <a:ln>
                      <a:noFill/>
                    </a:ln>
                    <a:effectLst>
                      <a:outerShdw blurRad="50800" dist="38100" dir="5400000" algn="t" rotWithShape="0">
                        <a:prstClr val="black">
                          <a:alpha val="40000"/>
                        </a:prstClr>
                      </a:outerShdw>
                    </a:effectLst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indent="0" algn="l"/>
                      <a:endParaRPr lang="fr-FR"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42" name="TextBox 31">
                      <a:extLst>
                        <a:ext uri="{FF2B5EF4-FFF2-40B4-BE49-F238E27FC236}">
                          <a16:creationId xmlns:a16="http://schemas.microsoft.com/office/drawing/2014/main" id="{7590A71B-E0D8-C81C-9AC0-26AAAACECCFB}"/>
                        </a:ext>
                      </a:extLst>
                    </xdr:cNvPr>
                    <xdr:cNvSpPr txBox="1"/>
                  </xdr:nvSpPr>
                  <xdr:spPr>
                    <a:xfrm>
                      <a:off x="2259909" y="1590785"/>
                      <a:ext cx="2481214" cy="27119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l"/>
                      <a:r>
                        <a:rPr lang="en-CA" sz="1400" b="1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rPr>
                        <a:t>Statut Garantie </a:t>
                      </a:r>
                    </a:p>
                  </xdr:txBody>
                </xdr:sp>
              </xdr:grpSp>
              <xdr:pic>
                <xdr:nvPicPr>
                  <xdr:cNvPr id="40" name="Image 39">
                    <a:extLst>
                      <a:ext uri="{FF2B5EF4-FFF2-40B4-BE49-F238E27FC236}">
                        <a16:creationId xmlns:a16="http://schemas.microsoft.com/office/drawing/2014/main" id="{F9633ED2-59F1-36C3-FB81-7D575CC7F915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2">
                    <a:lum bright="70000" contrast="-70000"/>
                  </a:blip>
                  <a:stretch>
                    <a:fillRect/>
                  </a:stretch>
                </xdr:blipFill>
                <xdr:spPr>
                  <a:xfrm>
                    <a:off x="12162940" y="4497396"/>
                    <a:ext cx="361348" cy="272242"/>
                  </a:xfrm>
                  <a:prstGeom prst="rect">
                    <a:avLst/>
                  </a:prstGeom>
                  <a:ln>
                    <a:noFill/>
                  </a:ln>
                </xdr:spPr>
              </xdr:pic>
            </xdr:grpSp>
            <xdr:graphicFrame macro="">
              <xdr:nvGraphicFramePr>
                <xdr:cNvPr id="38" name="Graphique 37">
                  <a:extLst>
                    <a:ext uri="{FF2B5EF4-FFF2-40B4-BE49-F238E27FC236}">
                      <a16:creationId xmlns:a16="http://schemas.microsoft.com/office/drawing/2014/main" id="{281F5471-79D5-4CFA-A7F5-AEF8ADE42BF9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3674510" y="2292070"/>
                <a:ext cx="3476580" cy="147146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3"/>
                </a:graphicData>
              </a:graphic>
            </xdr:graphicFrame>
          </xdr:grpSp>
          <xdr:grpSp>
            <xdr:nvGrpSpPr>
              <xdr:cNvPr id="30" name="Groupe 29">
                <a:extLst>
                  <a:ext uri="{FF2B5EF4-FFF2-40B4-BE49-F238E27FC236}">
                    <a16:creationId xmlns:a16="http://schemas.microsoft.com/office/drawing/2014/main" id="{72ADC49F-B3E3-7E02-4F0B-37C37D5FDF2F}"/>
                  </a:ext>
                </a:extLst>
              </xdr:cNvPr>
              <xdr:cNvGrpSpPr/>
            </xdr:nvGrpSpPr>
            <xdr:grpSpPr>
              <a:xfrm>
                <a:off x="2416074" y="4202715"/>
                <a:ext cx="4622235" cy="2140136"/>
                <a:chOff x="2955824" y="4083652"/>
                <a:chExt cx="4622235" cy="2140136"/>
              </a:xfrm>
            </xdr:grpSpPr>
            <xdr:grpSp>
              <xdr:nvGrpSpPr>
                <xdr:cNvPr id="31" name="Groupe 30">
                  <a:extLst>
                    <a:ext uri="{FF2B5EF4-FFF2-40B4-BE49-F238E27FC236}">
                      <a16:creationId xmlns:a16="http://schemas.microsoft.com/office/drawing/2014/main" id="{2A6B19E3-604D-51C8-0D12-26F3170A74F0}"/>
                    </a:ext>
                  </a:extLst>
                </xdr:cNvPr>
                <xdr:cNvGrpSpPr/>
              </xdr:nvGrpSpPr>
              <xdr:grpSpPr>
                <a:xfrm>
                  <a:off x="2955824" y="4083652"/>
                  <a:ext cx="4622235" cy="2140136"/>
                  <a:chOff x="8200985" y="1898050"/>
                  <a:chExt cx="4752380" cy="2268991"/>
                </a:xfrm>
              </xdr:grpSpPr>
              <xdr:grpSp>
                <xdr:nvGrpSpPr>
                  <xdr:cNvPr id="33" name="Groupe 32">
                    <a:extLst>
                      <a:ext uri="{FF2B5EF4-FFF2-40B4-BE49-F238E27FC236}">
                        <a16:creationId xmlns:a16="http://schemas.microsoft.com/office/drawing/2014/main" id="{6BE1E0CC-32DB-6176-4A60-17022B1558D5}"/>
                      </a:ext>
                    </a:extLst>
                  </xdr:cNvPr>
                  <xdr:cNvGrpSpPr/>
                </xdr:nvGrpSpPr>
                <xdr:grpSpPr>
                  <a:xfrm>
                    <a:off x="8200985" y="1898050"/>
                    <a:ext cx="4752380" cy="2268991"/>
                    <a:chOff x="2143462" y="3467097"/>
                    <a:chExt cx="4928851" cy="3118365"/>
                  </a:xfrm>
                </xdr:grpSpPr>
                <xdr:sp macro="" textlink="">
                  <xdr:nvSpPr>
                    <xdr:cNvPr id="35" name="Rectangle : coins arrondis 34">
                      <a:extLst>
                        <a:ext uri="{FF2B5EF4-FFF2-40B4-BE49-F238E27FC236}">
                          <a16:creationId xmlns:a16="http://schemas.microsoft.com/office/drawing/2014/main" id="{CE4B1FC8-DA0B-39F3-6D7A-58CD5C80CF9B}"/>
                        </a:ext>
                      </a:extLst>
                    </xdr:cNvPr>
                    <xdr:cNvSpPr/>
                  </xdr:nvSpPr>
                  <xdr:spPr>
                    <a:xfrm>
                      <a:off x="2143462" y="3467097"/>
                      <a:ext cx="4928851" cy="3118365"/>
                    </a:xfrm>
                    <a:prstGeom prst="roundRect">
                      <a:avLst/>
                    </a:prstGeom>
                    <a:solidFill>
                      <a:srgbClr val="DDF2FB"/>
                    </a:solidFill>
                    <a:ln>
                      <a:noFill/>
                    </a:ln>
                    <a:effectLst>
                      <a:outerShdw blurRad="50800" dist="38100" dir="5400000" algn="t" rotWithShape="0">
                        <a:prstClr val="black">
                          <a:alpha val="40000"/>
                        </a:prstClr>
                      </a:outerShdw>
                    </a:effectLst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indent="0" algn="l"/>
                      <a:endParaRPr lang="fr-FR" sz="1100">
                        <a:solidFill>
                          <a:schemeClr val="dk1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sp macro="" textlink="">
                  <xdr:nvSpPr>
                    <xdr:cNvPr id="36" name="TextBox 31">
                      <a:extLst>
                        <a:ext uri="{FF2B5EF4-FFF2-40B4-BE49-F238E27FC236}">
                          <a16:creationId xmlns:a16="http://schemas.microsoft.com/office/drawing/2014/main" id="{9337CA95-9E35-C080-44B2-D3EA17D15457}"/>
                        </a:ext>
                      </a:extLst>
                    </xdr:cNvPr>
                    <xdr:cNvSpPr txBox="1"/>
                  </xdr:nvSpPr>
                  <xdr:spPr>
                    <a:xfrm>
                      <a:off x="2387597" y="3664251"/>
                      <a:ext cx="2483001" cy="468362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l"/>
                      <a:r>
                        <a:rPr lang="en-CA" sz="1400" b="1">
                          <a:solidFill>
                            <a:srgbClr val="00B0F0"/>
                          </a:solidFill>
                          <a:latin typeface="+mn-lt"/>
                          <a:ea typeface="+mn-ea"/>
                          <a:cs typeface="+mn-cs"/>
                        </a:rPr>
                        <a:t>Comission</a:t>
                      </a:r>
                      <a:r>
                        <a:rPr lang="en-CA" sz="1400" b="1" baseline="0">
                          <a:solidFill>
                            <a:srgbClr val="00B0F0"/>
                          </a:solidFill>
                          <a:latin typeface="+mn-lt"/>
                          <a:ea typeface="+mn-ea"/>
                          <a:cs typeface="+mn-cs"/>
                        </a:rPr>
                        <a:t> payée</a:t>
                      </a:r>
                      <a:endParaRPr lang="en-CA" sz="1400" b="1">
                        <a:solidFill>
                          <a:srgbClr val="00B0F0"/>
                        </a:solidFill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</xdr:grpSp>
              <xdr:pic>
                <xdr:nvPicPr>
                  <xdr:cNvPr id="34" name="Image 33">
                    <a:extLst>
                      <a:ext uri="{FF2B5EF4-FFF2-40B4-BE49-F238E27FC236}">
                        <a16:creationId xmlns:a16="http://schemas.microsoft.com/office/drawing/2014/main" id="{716375E3-ABB4-F401-8B1B-F2794ECC1EB4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4">
                    <a:lum bright="70000" contrast="-70000"/>
                  </a:blip>
                  <a:stretch>
                    <a:fillRect/>
                  </a:stretch>
                </xdr:blipFill>
                <xdr:spPr>
                  <a:xfrm>
                    <a:off x="12381142" y="2119217"/>
                    <a:ext cx="393421" cy="271517"/>
                  </a:xfrm>
                  <a:prstGeom prst="rect">
                    <a:avLst/>
                  </a:prstGeom>
                  <a:ln>
                    <a:noFill/>
                  </a:ln>
                </xdr:spPr>
              </xdr:pic>
            </xdr:grpSp>
            <xdr:graphicFrame macro="">
              <xdr:nvGraphicFramePr>
                <xdr:cNvPr id="32" name="Graphique 31">
                  <a:extLst>
                    <a:ext uri="{FF2B5EF4-FFF2-40B4-BE49-F238E27FC236}">
                      <a16:creationId xmlns:a16="http://schemas.microsoft.com/office/drawing/2014/main" id="{393EAD97-9786-20B5-EF25-6ACC1B56E942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3851033" y="4409377"/>
                <a:ext cx="3270574" cy="161379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5"/>
                </a:graphicData>
              </a:graphic>
            </xdr:graphicFrame>
          </xdr:grpSp>
        </xdr:grpSp>
        <xdr:cxnSp macro="">
          <xdr:nvCxnSpPr>
            <xdr:cNvPr id="4" name="Connecteur droit 3">
              <a:extLst>
                <a:ext uri="{FF2B5EF4-FFF2-40B4-BE49-F238E27FC236}">
                  <a16:creationId xmlns:a16="http://schemas.microsoft.com/office/drawing/2014/main" id="{CEE7D09B-8B26-9972-8E5D-59FC68913DEF}"/>
                </a:ext>
              </a:extLst>
            </xdr:cNvPr>
            <xdr:cNvCxnSpPr/>
          </xdr:nvCxnSpPr>
          <xdr:spPr>
            <a:xfrm flipV="1">
              <a:off x="2354036" y="1795008"/>
              <a:ext cx="9913937" cy="15875"/>
            </a:xfrm>
            <a:prstGeom prst="line">
              <a:avLst/>
            </a:prstGeom>
            <a:ln w="19050">
              <a:solidFill>
                <a:schemeClr val="bg2">
                  <a:lumMod val="90000"/>
                </a:schemeClr>
              </a:solidFill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" name="ZoneTexte 13">
              <a:extLst>
                <a:ext uri="{FF2B5EF4-FFF2-40B4-BE49-F238E27FC236}">
                  <a16:creationId xmlns:a16="http://schemas.microsoft.com/office/drawing/2014/main" id="{1577901E-DBEE-30CB-84DE-69F9EFB06A76}"/>
                </a:ext>
              </a:extLst>
            </xdr:cNvPr>
            <xdr:cNvSpPr txBox="1"/>
          </xdr:nvSpPr>
          <xdr:spPr>
            <a:xfrm>
              <a:off x="1939697" y="2348366"/>
              <a:ext cx="1031147" cy="44386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wordArtVert" wrap="square" rtlCol="0" anchor="t"/>
            <a:lstStyle/>
            <a:p>
              <a:r>
                <a:rPr lang="fr-FR" sz="1400" b="1">
                  <a:solidFill>
                    <a:schemeClr val="bg2">
                      <a:lumMod val="75000"/>
                    </a:schemeClr>
                  </a:solidFill>
                </a:rPr>
                <a:t>EN CHIFFRES</a:t>
              </a:r>
            </a:p>
          </xdr:txBody>
        </xdr:sp>
      </xdr:grpSp>
      <xdr:graphicFrame macro="">
        <xdr:nvGraphicFramePr>
          <xdr:cNvPr id="74" name="Graphique 73">
            <a:extLst>
              <a:ext uri="{FF2B5EF4-FFF2-40B4-BE49-F238E27FC236}">
                <a16:creationId xmlns:a16="http://schemas.microsoft.com/office/drawing/2014/main" id="{21403214-5B33-41D8-BD4F-DA0C691471EE}"/>
              </a:ext>
            </a:extLst>
          </xdr:cNvPr>
          <xdr:cNvGraphicFramePr>
            <a:graphicFrameLocks/>
          </xdr:cNvGraphicFramePr>
        </xdr:nvGraphicFramePr>
        <xdr:xfrm>
          <a:off x="9441502" y="4265042"/>
          <a:ext cx="2006146" cy="151994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  <xdr:twoCellAnchor>
    <xdr:from>
      <xdr:col>9</xdr:col>
      <xdr:colOff>975894</xdr:colOff>
      <xdr:row>4</xdr:row>
      <xdr:rowOff>115808</xdr:rowOff>
    </xdr:from>
    <xdr:to>
      <xdr:col>11</xdr:col>
      <xdr:colOff>677016</xdr:colOff>
      <xdr:row>6</xdr:row>
      <xdr:rowOff>96452</xdr:rowOff>
    </xdr:to>
    <xdr:grpSp>
      <xdr:nvGrpSpPr>
        <xdr:cNvPr id="78" name="Groupe 77">
          <a:extLst>
            <a:ext uri="{FF2B5EF4-FFF2-40B4-BE49-F238E27FC236}">
              <a16:creationId xmlns:a16="http://schemas.microsoft.com/office/drawing/2014/main" id="{FE87D804-869F-6C94-4CE2-28BC195CB9AF}"/>
            </a:ext>
          </a:extLst>
        </xdr:cNvPr>
        <xdr:cNvGrpSpPr/>
      </xdr:nvGrpSpPr>
      <xdr:grpSpPr>
        <a:xfrm>
          <a:off x="9000822" y="852040"/>
          <a:ext cx="1532498" cy="348760"/>
          <a:chOff x="2413486" y="498928"/>
          <a:chExt cx="1264957" cy="356140"/>
        </a:xfrm>
      </xdr:grpSpPr>
      <xdr:sp macro="" textlink="">
        <xdr:nvSpPr>
          <xdr:cNvPr id="79" name="ZoneTexte 78">
            <a:extLst>
              <a:ext uri="{FF2B5EF4-FFF2-40B4-BE49-F238E27FC236}">
                <a16:creationId xmlns:a16="http://schemas.microsoft.com/office/drawing/2014/main" id="{EDA891DE-DA4C-F082-5A5E-2C4AA845A620}"/>
              </a:ext>
            </a:extLst>
          </xdr:cNvPr>
          <xdr:cNvSpPr txBox="1"/>
        </xdr:nvSpPr>
        <xdr:spPr>
          <a:xfrm>
            <a:off x="2444129" y="498928"/>
            <a:ext cx="1234314" cy="35614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200" b="1">
                <a:solidFill>
                  <a:srgbClr val="175395"/>
                </a:solidFill>
              </a:rPr>
              <a:t>Mnt</a:t>
            </a:r>
            <a:r>
              <a:rPr lang="fr-FR" sz="1200" b="1" baseline="0">
                <a:solidFill>
                  <a:srgbClr val="175395"/>
                </a:solidFill>
              </a:rPr>
              <a:t> garantie total</a:t>
            </a:r>
            <a:endParaRPr lang="fr-FR" sz="1200" b="1">
              <a:solidFill>
                <a:srgbClr val="175395"/>
              </a:solidFill>
            </a:endParaRPr>
          </a:p>
        </xdr:txBody>
      </xdr:sp>
      <xdr:sp macro="" textlink="">
        <xdr:nvSpPr>
          <xdr:cNvPr id="80" name="Rectangle : coins arrondis 79">
            <a:extLst>
              <a:ext uri="{FF2B5EF4-FFF2-40B4-BE49-F238E27FC236}">
                <a16:creationId xmlns:a16="http://schemas.microsoft.com/office/drawing/2014/main" id="{BFF683F0-E383-A271-E434-E3206FCD8B71}"/>
              </a:ext>
            </a:extLst>
          </xdr:cNvPr>
          <xdr:cNvSpPr/>
        </xdr:nvSpPr>
        <xdr:spPr>
          <a:xfrm>
            <a:off x="2413486" y="513669"/>
            <a:ext cx="1228777" cy="268825"/>
          </a:xfrm>
          <a:prstGeom prst="roundRect">
            <a:avLst/>
          </a:prstGeom>
          <a:noFill/>
          <a:ln>
            <a:solidFill>
              <a:srgbClr val="17539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1462188</xdr:colOff>
      <xdr:row>2</xdr:row>
      <xdr:rowOff>95459</xdr:rowOff>
    </xdr:from>
    <xdr:to>
      <xdr:col>6</xdr:col>
      <xdr:colOff>245640</xdr:colOff>
      <xdr:row>4</xdr:row>
      <xdr:rowOff>11339</xdr:rowOff>
    </xdr:to>
    <xdr:grpSp>
      <xdr:nvGrpSpPr>
        <xdr:cNvPr id="81" name="Groupe 80">
          <a:extLst>
            <a:ext uri="{FF2B5EF4-FFF2-40B4-BE49-F238E27FC236}">
              <a16:creationId xmlns:a16="http://schemas.microsoft.com/office/drawing/2014/main" id="{CE77000F-C228-045E-6D86-A1BDDD29917C}"/>
            </a:ext>
          </a:extLst>
        </xdr:cNvPr>
        <xdr:cNvGrpSpPr/>
      </xdr:nvGrpSpPr>
      <xdr:grpSpPr>
        <a:xfrm>
          <a:off x="5051318" y="463575"/>
          <a:ext cx="1038163" cy="283996"/>
          <a:chOff x="2413486" y="489856"/>
          <a:chExt cx="942943" cy="274736"/>
        </a:xfrm>
      </xdr:grpSpPr>
      <xdr:sp macro="" textlink="">
        <xdr:nvSpPr>
          <xdr:cNvPr id="83" name="ZoneTexte 82">
            <a:extLst>
              <a:ext uri="{FF2B5EF4-FFF2-40B4-BE49-F238E27FC236}">
                <a16:creationId xmlns:a16="http://schemas.microsoft.com/office/drawing/2014/main" id="{F2FB7EFD-C731-B61C-C87E-62AA66285857}"/>
              </a:ext>
            </a:extLst>
          </xdr:cNvPr>
          <xdr:cNvSpPr txBox="1"/>
        </xdr:nvSpPr>
        <xdr:spPr>
          <a:xfrm>
            <a:off x="2453173" y="489856"/>
            <a:ext cx="896776" cy="27473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fr-FR" sz="1200" b="1">
                <a:solidFill>
                  <a:srgbClr val="175395"/>
                </a:solidFill>
              </a:rPr>
              <a:t>Nom</a:t>
            </a:r>
            <a:r>
              <a:rPr lang="fr-FR" sz="1200" b="1" baseline="0">
                <a:solidFill>
                  <a:srgbClr val="175395"/>
                </a:solidFill>
              </a:rPr>
              <a:t> affaire</a:t>
            </a:r>
            <a:endParaRPr lang="fr-FR" sz="1200" b="1">
              <a:solidFill>
                <a:srgbClr val="175395"/>
              </a:solidFill>
            </a:endParaRPr>
          </a:p>
        </xdr:txBody>
      </xdr:sp>
      <xdr:sp macro="" textlink="">
        <xdr:nvSpPr>
          <xdr:cNvPr id="84" name="Rectangle : coins arrondis 83">
            <a:extLst>
              <a:ext uri="{FF2B5EF4-FFF2-40B4-BE49-F238E27FC236}">
                <a16:creationId xmlns:a16="http://schemas.microsoft.com/office/drawing/2014/main" id="{F28DB24B-DB54-01D7-41F5-63C1449DCCBF}"/>
              </a:ext>
            </a:extLst>
          </xdr:cNvPr>
          <xdr:cNvSpPr/>
        </xdr:nvSpPr>
        <xdr:spPr>
          <a:xfrm>
            <a:off x="2413486" y="513671"/>
            <a:ext cx="942943" cy="244442"/>
          </a:xfrm>
          <a:prstGeom prst="roundRect">
            <a:avLst/>
          </a:prstGeom>
          <a:noFill/>
          <a:ln>
            <a:solidFill>
              <a:srgbClr val="17539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3</xdr:col>
      <xdr:colOff>450942</xdr:colOff>
      <xdr:row>2</xdr:row>
      <xdr:rowOff>46016</xdr:rowOff>
    </xdr:from>
    <xdr:to>
      <xdr:col>4</xdr:col>
      <xdr:colOff>1341047</xdr:colOff>
      <xdr:row>6</xdr:row>
      <xdr:rowOff>64420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5" name="Centre Affaires">
              <a:extLst>
                <a:ext uri="{FF2B5EF4-FFF2-40B4-BE49-F238E27FC236}">
                  <a16:creationId xmlns:a16="http://schemas.microsoft.com/office/drawing/2014/main" id="{2D19561C-EC54-4282-A5AB-9EAA1164F4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ntre Affair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01377" y="414132"/>
              <a:ext cx="1828800" cy="754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46014</xdr:colOff>
      <xdr:row>2</xdr:row>
      <xdr:rowOff>46015</xdr:rowOff>
    </xdr:from>
    <xdr:to>
      <xdr:col>9</xdr:col>
      <xdr:colOff>414129</xdr:colOff>
      <xdr:row>6</xdr:row>
      <xdr:rowOff>55218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6" name="Numéro Tiers">
              <a:extLst>
                <a:ext uri="{FF2B5EF4-FFF2-40B4-BE49-F238E27FC236}">
                  <a16:creationId xmlns:a16="http://schemas.microsoft.com/office/drawing/2014/main" id="{3794E1D9-7207-4FBE-BBD7-D3B4B965A9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uméro Tier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11956" y="414131"/>
              <a:ext cx="2227101" cy="7454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46015</xdr:colOff>
      <xdr:row>29</xdr:row>
      <xdr:rowOff>48315</xdr:rowOff>
    </xdr:from>
    <xdr:to>
      <xdr:col>2</xdr:col>
      <xdr:colOff>11264</xdr:colOff>
      <xdr:row>33</xdr:row>
      <xdr:rowOff>2897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Colonne1 2">
              <a:extLst>
                <a:ext uri="{FF2B5EF4-FFF2-40B4-BE49-F238E27FC236}">
                  <a16:creationId xmlns:a16="http://schemas.microsoft.com/office/drawing/2014/main" id="{0DD2AF88-3767-4B96-8872-BD881792C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nne1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015" y="5385996"/>
              <a:ext cx="1658582" cy="6908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euille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le2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User/Documents/INGE%202/STAGE/TDB%20CDM_CCG.xlsm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90.593895138889" createdVersion="8" refreshedVersion="8" minRefreshableVersion="3" recordCount="398" xr:uid="{A3FFDC4C-07B0-4FC7-8EAC-0FABC1D16AA2}">
  <cacheSource type="worksheet">
    <worksheetSource name="Tableau1"/>
  </cacheSource>
  <cacheFields count="32">
    <cacheField name="Numéro Tiers" numFmtId="0">
      <sharedItems containsSemiMixedTypes="0" containsString="0" containsNumber="1" containsInteger="1" minValue="10301984091" maxValue="99618140827" count="398">
        <n v="70664731098"/>
        <n v="66280402874"/>
        <n v="70698999869"/>
        <n v="13621943390"/>
        <n v="39438844639"/>
        <n v="92068900305"/>
        <n v="10937529086"/>
        <n v="33248470109"/>
        <n v="11838722221"/>
        <n v="18146914552"/>
        <n v="20178221073"/>
        <n v="77928280968"/>
        <n v="80983361415"/>
        <n v="42355183087"/>
        <n v="23074383804"/>
        <n v="92092249277"/>
        <n v="80087074476"/>
        <n v="59752189305"/>
        <n v="54795657553"/>
        <n v="17583843191"/>
        <n v="12098434708"/>
        <n v="76147171218"/>
        <n v="95426749268"/>
        <n v="11131865799"/>
        <n v="31280830234"/>
        <n v="35615078893"/>
        <n v="38905228526"/>
        <n v="41845461571"/>
        <n v="47532003862"/>
        <n v="62956639508"/>
        <n v="77307468843"/>
        <n v="51462069779"/>
        <n v="42968701088"/>
        <n v="38113178690"/>
        <n v="86351886123"/>
        <n v="61708540312"/>
        <n v="45813285169"/>
        <n v="16262046832"/>
        <n v="69095649615"/>
        <n v="37131033372"/>
        <n v="26418056025"/>
        <n v="15815498493"/>
        <n v="28521293168"/>
        <n v="90591309031"/>
        <n v="95632908285"/>
        <n v="75786180839"/>
        <n v="10612911420"/>
        <n v="63334642791"/>
        <n v="29545686459"/>
        <n v="81045652069"/>
        <n v="19727211043"/>
        <n v="86352036800"/>
        <n v="10796237035"/>
        <n v="15767057320"/>
        <n v="35880786426"/>
        <n v="92812907731"/>
        <n v="55343363010"/>
        <n v="75316218344"/>
        <n v="17604781739"/>
        <n v="34143251955"/>
        <n v="84949910854"/>
        <n v="17495285482"/>
        <n v="65990574830"/>
        <n v="79958204768"/>
        <n v="88255796312"/>
        <n v="67870633160"/>
        <n v="78497710484"/>
        <n v="13660907073"/>
        <n v="91965057755"/>
        <n v="23651650271"/>
        <n v="65402798600"/>
        <n v="66645819344"/>
        <n v="17880150819"/>
        <n v="71705974179"/>
        <n v="36286582587"/>
        <n v="54071528400"/>
        <n v="46854361639"/>
        <n v="79321983478"/>
        <n v="67860317650"/>
        <n v="83860841803"/>
        <n v="70723071738"/>
        <n v="38642081553"/>
        <n v="61939387669"/>
        <n v="50395812437"/>
        <n v="38964319571"/>
        <n v="99137874472"/>
        <n v="22899084386"/>
        <n v="54346438745"/>
        <n v="44875852698"/>
        <n v="35436698629"/>
        <n v="55558103073"/>
        <n v="18397969647"/>
        <n v="45661873827"/>
        <n v="42006891299"/>
        <n v="58747354868"/>
        <n v="35879110809"/>
        <n v="67340439586"/>
        <n v="28548197657"/>
        <n v="80991126385"/>
        <n v="73570950618"/>
        <n v="41494003616"/>
        <n v="74841721758"/>
        <n v="69644074614"/>
        <n v="13200839222"/>
        <n v="34070314307"/>
        <n v="34660609591"/>
        <n v="88612452717"/>
        <n v="49190907307"/>
        <n v="74180175736"/>
        <n v="99618140827"/>
        <n v="82984767666"/>
        <n v="47892141472"/>
        <n v="72396505696"/>
        <n v="64808642783"/>
        <n v="47794652231"/>
        <n v="55513208817"/>
        <n v="78368622875"/>
        <n v="45995697465"/>
        <n v="68551993849"/>
        <n v="11873614545"/>
        <n v="27893270819"/>
        <n v="85243552775"/>
        <n v="79497347500"/>
        <n v="86876740533"/>
        <n v="34734877026"/>
        <n v="34365423423"/>
        <n v="86624043192"/>
        <n v="21854998169"/>
        <n v="40206434093"/>
        <n v="13755553134"/>
        <n v="64909475871"/>
        <n v="13528927817"/>
        <n v="34002082575"/>
        <n v="14352607001"/>
        <n v="59131728318"/>
        <n v="32885395899"/>
        <n v="73997109486"/>
        <n v="96971532806"/>
        <n v="46866548742"/>
        <n v="10301984091"/>
        <n v="81243066023"/>
        <n v="16862789072"/>
        <n v="30295604958"/>
        <n v="89388480067"/>
        <n v="18955626568"/>
        <n v="73525202986"/>
        <n v="68072404865"/>
        <n v="92504598730"/>
        <n v="19386154402"/>
        <n v="53310930826"/>
        <n v="88828330046"/>
        <n v="25316539506"/>
        <n v="84455689818"/>
        <n v="83304744779"/>
        <n v="26290263355"/>
        <n v="59392879550"/>
        <n v="83840209727"/>
        <n v="84161914333"/>
        <n v="41774531446"/>
        <n v="33962729768"/>
        <n v="69283259214"/>
        <n v="46632681399"/>
        <n v="23831494803"/>
        <n v="40335172791"/>
        <n v="29691825549"/>
        <n v="50695865448"/>
        <n v="91866990032"/>
        <n v="67956340419"/>
        <n v="50372038339"/>
        <n v="49878880657"/>
        <n v="15117381013"/>
        <n v="11826412466"/>
        <n v="94198844595"/>
        <n v="98388724240"/>
        <n v="59902126342"/>
        <n v="10416467165"/>
        <n v="86874876746"/>
        <n v="22153796305"/>
        <n v="36508271651"/>
        <n v="45452997646"/>
        <n v="83671659495"/>
        <n v="66253269462"/>
        <n v="52851704389"/>
        <n v="65126670339"/>
        <n v="86270586323"/>
        <n v="81440362483"/>
        <n v="29482391105"/>
        <n v="74522575453"/>
        <n v="36654670002"/>
        <n v="90615179814"/>
        <n v="22831319609"/>
        <n v="25268698307"/>
        <n v="48821506093"/>
        <n v="87898185849"/>
        <n v="85674778679"/>
        <n v="63392348393"/>
        <n v="81467239643"/>
        <n v="82674244578"/>
        <n v="68670647294"/>
        <n v="50593759426"/>
        <n v="59091155833"/>
        <n v="11159015505"/>
        <n v="87796678751"/>
        <n v="18676770444"/>
        <n v="55349110991"/>
        <n v="15099600756"/>
        <n v="33656984269"/>
        <n v="87137834129"/>
        <n v="68299446976"/>
        <n v="44013558778"/>
        <n v="26013866613"/>
        <n v="64505135682"/>
        <n v="59964610561"/>
        <n v="29062372615"/>
        <n v="17911198804"/>
        <n v="76448087285"/>
        <n v="31437196598"/>
        <n v="85976074010"/>
        <n v="67215980781"/>
        <n v="64061015189"/>
        <n v="75979972725"/>
        <n v="69499410542"/>
        <n v="81631435041"/>
        <n v="56144684129"/>
        <n v="73913439204"/>
        <n v="41058088598"/>
        <n v="91417573901"/>
        <n v="27009664778"/>
        <n v="43372224814"/>
        <n v="51147135309"/>
        <n v="92138621199"/>
        <n v="70256247575"/>
        <n v="52529369760"/>
        <n v="71305148921"/>
        <n v="73043129025"/>
        <n v="23628625531"/>
        <n v="62111125411"/>
        <n v="88651296316"/>
        <n v="36745910940"/>
        <n v="94213654064"/>
        <n v="95028260763"/>
        <n v="76995859932"/>
        <n v="41863239918"/>
        <n v="35959573883"/>
        <n v="12564228788"/>
        <n v="22281059583"/>
        <n v="26076607351"/>
        <n v="18042244204"/>
        <n v="39231054668"/>
        <n v="48769584982"/>
        <n v="80490433662"/>
        <n v="12810679305"/>
        <n v="37800479524"/>
        <n v="80580140230"/>
        <n v="77604625761"/>
        <n v="86641388169"/>
        <n v="82915773712"/>
        <n v="24361114953"/>
        <n v="88096937889"/>
        <n v="74405728499"/>
        <n v="77970330377"/>
        <n v="21177546971"/>
        <n v="73851315922"/>
        <n v="43346224124"/>
        <n v="69115136934"/>
        <n v="67680790347"/>
        <n v="16570229764"/>
        <n v="54174105498"/>
        <n v="37992849148"/>
        <n v="33209877012"/>
        <n v="51589524620"/>
        <n v="80556474181"/>
        <n v="71552919938"/>
        <n v="80826905335"/>
        <n v="91068954865"/>
        <n v="72927076344"/>
        <n v="22289009285"/>
        <n v="55434702409"/>
        <n v="65747139759"/>
        <n v="91674386474"/>
        <n v="15858244544"/>
        <n v="45430221886"/>
        <n v="27716318432"/>
        <n v="13652145957"/>
        <n v="13817591304"/>
        <n v="30756182338"/>
        <n v="91826336176"/>
        <n v="64609787583"/>
        <n v="42490153268"/>
        <n v="44755172830"/>
        <n v="90510907050"/>
        <n v="58185391413"/>
        <n v="28442344162"/>
        <n v="71187957393"/>
        <n v="34408352233"/>
        <n v="39321675643"/>
        <n v="94244707171"/>
        <n v="36577675320"/>
        <n v="20530634152"/>
        <n v="92098251260"/>
        <n v="27302093482"/>
        <n v="88988449834"/>
        <n v="86216763154"/>
        <n v="72858919209"/>
        <n v="43915513940"/>
        <n v="55795634535"/>
        <n v="11442564062"/>
        <n v="57374120374"/>
        <n v="49320268100"/>
        <n v="80945482033"/>
        <n v="87102806851"/>
        <n v="57663965179"/>
        <n v="67383358097"/>
        <n v="41092127069"/>
        <n v="27124634755"/>
        <n v="81223462869"/>
        <n v="78586936554"/>
        <n v="92036090690"/>
        <n v="33013621436"/>
        <n v="12603974760"/>
        <n v="55680405319"/>
        <n v="91015401072"/>
        <n v="29557451448"/>
        <n v="98968636608"/>
        <n v="15186797141"/>
        <n v="43247093360"/>
        <n v="19408321686"/>
        <n v="70659764733"/>
        <n v="80723693074"/>
        <n v="96012509598"/>
        <n v="54501561228"/>
        <n v="80976153577"/>
        <n v="49394260134"/>
        <n v="67654347679"/>
        <n v="43159330657"/>
        <n v="70253696372"/>
        <n v="52492945986"/>
        <n v="18551883377"/>
        <n v="90943028294"/>
        <n v="77940965555"/>
        <n v="38654464121"/>
        <n v="79278621806"/>
        <n v="67090122529"/>
        <n v="40476459582"/>
        <n v="40995487781"/>
        <n v="95642209358"/>
        <n v="18480855915"/>
        <n v="64006793221"/>
        <n v="74164683092"/>
        <n v="63485326458"/>
        <n v="98721006139"/>
        <n v="76190721740"/>
        <n v="69138967667"/>
        <n v="92884595986"/>
        <n v="55973736838"/>
        <n v="73112826149"/>
        <n v="30478284997"/>
        <n v="58342956612"/>
        <n v="18065999452"/>
        <n v="47932527450"/>
        <n v="29323565764"/>
        <n v="89175621043"/>
        <n v="51569176993"/>
        <n v="28882420702"/>
        <n v="29272456969"/>
        <n v="20518406531"/>
        <n v="14039607410"/>
        <n v="65200746778"/>
        <n v="46764531105"/>
        <n v="75359106933"/>
        <n v="88540618457"/>
        <n v="20796053108"/>
        <n v="42357038278"/>
        <n v="47375773894"/>
        <n v="50798933242"/>
        <n v="11477317487"/>
        <n v="88650741524"/>
        <n v="98165646298"/>
        <n v="74258385123"/>
        <n v="37718025624"/>
        <n v="85910502054"/>
        <n v="50667569850"/>
        <n v="56778893000"/>
        <n v="58417588945"/>
        <n v="95560547842"/>
        <n v="92020056927"/>
        <n v="61713150700"/>
        <n v="12167420894"/>
        <n v="93421876714"/>
        <n v="41464775056"/>
        <n v="62264282892"/>
        <n v="64312844161"/>
        <n v="23189182981"/>
        <n v="74559919491"/>
        <n v="34292930841"/>
        <n v="41046523204"/>
        <n v="48095103177"/>
        <n v="71400084173"/>
      </sharedItems>
    </cacheField>
    <cacheField name="Collaborateurs" numFmtId="0">
      <sharedItems count="4">
        <s v="junior 1"/>
        <s v="junior 2"/>
        <s v="junior 3"/>
        <s v="junior 4"/>
      </sharedItems>
    </cacheField>
    <cacheField name="Compte BC" numFmtId="0">
      <sharedItems containsSemiMixedTypes="0" containsString="0" containsNumber="1" containsInteger="1" minValue="10081762844" maxValue="99922940371"/>
    </cacheField>
    <cacheField name="Nom Affaire" numFmtId="0">
      <sharedItems/>
    </cacheField>
    <cacheField name="Centre Affaires" numFmtId="49">
      <sharedItems count="10">
        <s v="Centre Affaires Palmier"/>
        <s v="Centre Affaires Gueliz"/>
        <s v="Centre Affaires Anfa"/>
        <s v="Centre Affaires Hivernage"/>
        <s v="Centre Affaires Agdal"/>
        <s v="Centre Affaires Chellah"/>
        <s v="Centre Affaires Hassan"/>
        <s v="Centre Affaires Centre Ville"/>
        <s v="Centre Affaires Maarif"/>
        <s v="Centre Affaires Boughaz"/>
      </sharedItems>
    </cacheField>
    <cacheField name="Numéro Crédit Bancaire" numFmtId="0">
      <sharedItems/>
    </cacheField>
    <cacheField name="REN/MEP" numFmtId="0">
      <sharedItems count="2">
        <s v="Renouvellement"/>
        <s v="Mise en place"/>
      </sharedItems>
    </cacheField>
    <cacheField name="Statut Acte Physique" numFmtId="0">
      <sharedItems/>
    </cacheField>
    <cacheField name="Quotité" numFmtId="9">
      <sharedItems containsSemiMixedTypes="0" containsString="0" containsNumber="1" minValue="0.5" maxValue="0.7"/>
    </cacheField>
    <cacheField name="Date accord" numFmtId="14">
      <sharedItems containsSemiMixedTypes="0" containsNonDate="0" containsDate="1" containsString="0" minDate="2023-01-01T00:00:00" maxDate="2023-12-31T00:00:00"/>
    </cacheField>
    <cacheField name="Date Échéance" numFmtId="14">
      <sharedItems containsSemiMixedTypes="0" containsNonDate="0" containsDate="1" containsString="0" minDate="2024-07-01T00:00:00" maxDate="2025-07-01T00:00:00"/>
    </cacheField>
    <cacheField name="Statut Commission" numFmtId="0">
      <sharedItems/>
    </cacheField>
    <cacheField name="Date Règlement Commission" numFmtId="14">
      <sharedItems containsNonDate="0" containsDate="1" containsString="0" containsBlank="1" minDate="2023-01-03T00:00:00" maxDate="2023-12-26T00:00:00"/>
    </cacheField>
    <cacheField name="Date Envoi CCG 2024" numFmtId="14">
      <sharedItems containsNonDate="0" containsDate="1" containsString="0" containsBlank="1" minDate="2023-03-05T00:00:00" maxDate="2024-12-15T00:00:00"/>
    </cacheField>
    <cacheField name="Responsable CAF CCG 2024" numFmtId="0">
      <sharedItems containsBlank="1"/>
    </cacheField>
    <cacheField name="Dernier Propriétaire 2024" numFmtId="0">
      <sharedItems containsBlank="1"/>
    </cacheField>
    <cacheField name="Date Proprio 2024" numFmtId="14">
      <sharedItems containsNonDate="0" containsDate="1" containsString="0" containsBlank="1" minDate="2024-01-02T00:00:00" maxDate="2024-12-30T00:00:00"/>
    </cacheField>
    <cacheField name="Statut" numFmtId="0">
      <sharedItems containsBlank="1"/>
    </cacheField>
    <cacheField name="Identifiant Crédit 2024" numFmtId="0">
      <sharedItems/>
    </cacheField>
    <cacheField name="Num Acte 2024" numFmtId="0">
      <sharedItems/>
    </cacheField>
    <cacheField name="Montant Ligne" numFmtId="43">
      <sharedItems containsSemiMixedTypes="0" containsString="0" containsNumber="1" containsInteger="1" minValue="1029679" maxValue="9991695"/>
    </cacheField>
    <cacheField name="Montant Garantie" numFmtId="167">
      <sharedItems containsSemiMixedTypes="0" containsString="0" containsNumber="1" minValue="617807.4" maxValue="5995017"/>
    </cacheField>
    <cacheField name="Montant Commission 2024" numFmtId="167">
      <sharedItems containsSemiMixedTypes="0" containsString="0" containsNumber="1" minValue="102967.90000000001" maxValue="999169.5"/>
    </cacheField>
    <cacheField name="Date Paiement Commission 2024" numFmtId="14">
      <sharedItems containsSemiMixedTypes="0" containsNonDate="0" containsDate="1" containsString="0" minDate="2024-01-03T00:00:00" maxDate="2024-12-30T00:00:00"/>
    </cacheField>
    <cacheField name="Statut acte physique 2" numFmtId="0">
      <sharedItems/>
    </cacheField>
    <cacheField name="Échéance Garantie" numFmtId="0">
      <sharedItems/>
    </cacheField>
    <cacheField name="Statut Garantie" numFmtId="0">
      <sharedItems count="2">
        <s v="Echue"/>
        <s v="Valide"/>
      </sharedItems>
    </cacheField>
    <cacheField name="Commission Payée" numFmtId="0">
      <sharedItems/>
    </cacheField>
    <cacheField name="Acte Valide+comission payé+annexe" numFmtId="0">
      <sharedItems/>
    </cacheField>
    <cacheField name="Flag a renouveller " numFmtId="0">
      <sharedItems/>
    </cacheField>
    <cacheField name="Montant lignes" numFmtId="43">
      <sharedItems containsSemiMixedTypes="0" containsString="0" containsNumber="1" containsInteger="1" minValue="1029679" maxValue="9991695" count="397">
        <n v="6668467"/>
        <n v="3021406"/>
        <n v="4385814"/>
        <n v="1399374"/>
        <n v="2720357"/>
        <n v="3877170"/>
        <n v="5440169"/>
        <n v="8827317"/>
        <n v="8806105"/>
        <n v="2420270"/>
        <n v="3838379"/>
        <n v="3490806"/>
        <n v="3827774"/>
        <n v="9547440"/>
        <n v="7638828"/>
        <n v="4718455"/>
        <n v="3529036"/>
        <n v="1689470"/>
        <n v="3717814"/>
        <n v="6216645"/>
        <n v="4924366"/>
        <n v="3451388"/>
        <n v="1248658"/>
        <n v="6364718"/>
        <n v="8360286"/>
        <n v="4489120"/>
        <n v="1612653"/>
        <n v="2319531"/>
        <n v="5512425"/>
        <n v="8523548"/>
        <n v="4637990"/>
        <n v="9695693"/>
        <n v="6526961"/>
        <n v="2619427"/>
        <n v="5102501"/>
        <n v="4366266"/>
        <n v="4906438"/>
        <n v="8150931"/>
        <n v="8078270"/>
        <n v="6253195"/>
        <n v="4977712"/>
        <n v="7119667"/>
        <n v="2575947"/>
        <n v="8182811"/>
        <n v="3362193"/>
        <n v="8852328"/>
        <n v="2481595"/>
        <n v="9393744"/>
        <n v="8354748"/>
        <n v="7383769"/>
        <n v="5984682"/>
        <n v="1134030"/>
        <n v="3112016"/>
        <n v="9666862"/>
        <n v="1132002"/>
        <n v="3995048"/>
        <n v="9930822"/>
        <n v="2674383"/>
        <n v="4184872"/>
        <n v="4472602"/>
        <n v="4363170"/>
        <n v="6365123"/>
        <n v="1576572"/>
        <n v="5569894"/>
        <n v="6467771"/>
        <n v="1219878"/>
        <n v="9295812"/>
        <n v="3140120"/>
        <n v="2405986"/>
        <n v="3831256"/>
        <n v="5724845"/>
        <n v="8664372"/>
        <n v="3147106"/>
        <n v="7094791"/>
        <n v="3344274"/>
        <n v="3255324"/>
        <n v="2968618"/>
        <n v="5256007"/>
        <n v="1429498"/>
        <n v="5410634"/>
        <n v="9390289"/>
        <n v="6921565"/>
        <n v="2523860"/>
        <n v="4330268"/>
        <n v="5611024"/>
        <n v="6345944"/>
        <n v="3293219"/>
        <n v="8108758"/>
        <n v="6514901"/>
        <n v="6678694"/>
        <n v="3694915"/>
        <n v="9557417"/>
        <n v="7478520"/>
        <n v="7857568"/>
        <n v="1605178"/>
        <n v="7797005"/>
        <n v="1836548"/>
        <n v="2248275"/>
        <n v="6386765"/>
        <n v="5138666"/>
        <n v="1507682"/>
        <n v="4803283"/>
        <n v="1911557"/>
        <n v="9912016"/>
        <n v="7359220"/>
        <n v="4853170"/>
        <n v="6521710"/>
        <n v="7438139"/>
        <n v="1043151"/>
        <n v="5920521"/>
        <n v="2340380"/>
        <n v="9770486"/>
        <n v="8170948"/>
        <n v="6852475"/>
        <n v="6935565"/>
        <n v="4932029"/>
        <n v="7561447"/>
        <n v="9248759"/>
        <n v="7782957"/>
        <n v="4013564"/>
        <n v="9054868"/>
        <n v="7794677"/>
        <n v="2356789"/>
        <n v="2927282"/>
        <n v="1843779"/>
        <n v="7724199"/>
        <n v="3375082"/>
        <n v="7935560"/>
        <n v="8268235"/>
        <n v="1271994"/>
        <n v="6501648"/>
        <n v="9894824"/>
        <n v="7805548"/>
        <n v="3750917"/>
        <n v="5803178"/>
        <n v="1065757"/>
        <n v="1963154"/>
        <n v="6130711"/>
        <n v="1857752"/>
        <n v="1774849"/>
        <n v="3823090"/>
        <n v="2730425"/>
        <n v="7334304"/>
        <n v="1604099"/>
        <n v="8407565"/>
        <n v="2050748"/>
        <n v="6582331"/>
        <n v="5048787"/>
        <n v="1701777"/>
        <n v="6852957"/>
        <n v="8324946"/>
        <n v="9270346"/>
        <n v="2024430"/>
        <n v="8743105"/>
        <n v="7028326"/>
        <n v="8811839"/>
        <n v="1357902"/>
        <n v="3791486"/>
        <n v="7782146"/>
        <n v="8871290"/>
        <n v="5305522"/>
        <n v="8632596"/>
        <n v="8467047"/>
        <n v="1748705"/>
        <n v="3245984"/>
        <n v="8961179"/>
        <n v="8322326"/>
        <n v="8238586"/>
        <n v="8012403"/>
        <n v="8503685"/>
        <n v="1281728"/>
        <n v="3743782"/>
        <n v="7940857"/>
        <n v="9364516"/>
        <n v="9292298"/>
        <n v="4889701"/>
        <n v="7236410"/>
        <n v="6777557"/>
        <n v="6500595"/>
        <n v="7152041"/>
        <n v="1715224"/>
        <n v="2554407"/>
        <n v="7057252"/>
        <n v="4404526"/>
        <n v="4738987"/>
        <n v="6630185"/>
        <n v="2446729"/>
        <n v="4541453"/>
        <n v="9539432"/>
        <n v="9582763"/>
        <n v="3224127"/>
        <n v="5765767"/>
        <n v="4823276"/>
        <n v="2940824"/>
        <n v="5342840"/>
        <n v="1127103"/>
        <n v="2566387"/>
        <n v="7291718"/>
        <n v="1243980"/>
        <n v="2851476"/>
        <n v="2587221"/>
        <n v="3584779"/>
        <n v="9554913"/>
        <n v="6267765"/>
        <n v="6116162"/>
        <n v="3186835"/>
        <n v="6579304"/>
        <n v="1614212"/>
        <n v="7752058"/>
        <n v="6951202"/>
        <n v="9331266"/>
        <n v="6072496"/>
        <n v="1139581"/>
        <n v="9879357"/>
        <n v="5909920"/>
        <n v="6713885"/>
        <n v="3891325"/>
        <n v="1979927"/>
        <n v="6673115"/>
        <n v="8361015"/>
        <n v="7753436"/>
        <n v="1411028"/>
        <n v="8930982"/>
        <n v="7168738"/>
        <n v="4362247"/>
        <n v="9488925"/>
        <n v="9698711"/>
        <n v="2044334"/>
        <n v="3846230"/>
        <n v="1095608"/>
        <n v="5921934"/>
        <n v="7195041"/>
        <n v="8851866"/>
        <n v="9991695"/>
        <n v="2287288"/>
        <n v="7919666"/>
        <n v="7654844"/>
        <n v="8106240"/>
        <n v="2064207"/>
        <n v="7957063"/>
        <n v="2034956"/>
        <n v="2337988"/>
        <n v="9640258"/>
        <n v="3764361"/>
        <n v="9597288"/>
        <n v="4817267"/>
        <n v="6728054"/>
        <n v="3552462"/>
        <n v="6114623"/>
        <n v="9811512"/>
        <n v="6825430"/>
        <n v="4245747"/>
        <n v="4491655"/>
        <n v="4590168"/>
        <n v="2114887"/>
        <n v="8766509"/>
        <n v="1029679"/>
        <n v="6456427"/>
        <n v="4077311"/>
        <n v="1125009"/>
        <n v="3958277"/>
        <n v="5081350"/>
        <n v="9315522"/>
        <n v="9130311"/>
        <n v="3075756"/>
        <n v="8139032"/>
        <n v="3986917"/>
        <n v="1354562"/>
        <n v="8522626"/>
        <n v="6750847"/>
        <n v="1709364"/>
        <n v="8145625"/>
        <n v="4917603"/>
        <n v="5593355"/>
        <n v="1118553"/>
        <n v="8859921"/>
        <n v="3944900"/>
        <n v="6682626"/>
        <n v="1259035"/>
        <n v="2424804"/>
        <n v="4331585"/>
        <n v="4567991"/>
        <n v="7518919"/>
        <n v="5699678"/>
        <n v="1839502"/>
        <n v="2202840"/>
        <n v="7533038"/>
        <n v="6213290"/>
        <n v="2960057"/>
        <n v="9807170"/>
        <n v="3911730"/>
        <n v="1409052"/>
        <n v="4783311"/>
        <n v="6000277"/>
        <n v="7025343"/>
        <n v="1425312"/>
        <n v="8947069"/>
        <n v="4575472"/>
        <n v="2555441"/>
        <n v="8400882"/>
        <n v="9190116"/>
        <n v="2156414"/>
        <n v="8535451"/>
        <n v="7228120"/>
        <n v="1036352"/>
        <n v="7762482"/>
        <n v="7023939"/>
        <n v="2093208"/>
        <n v="1556696"/>
        <n v="8956168"/>
        <n v="3080410"/>
        <n v="8980314"/>
        <n v="8949504"/>
        <n v="1355919"/>
        <n v="2642214"/>
        <n v="9013098"/>
        <n v="7862688"/>
        <n v="1475398"/>
        <n v="3936430"/>
        <n v="1239314"/>
        <n v="7979890"/>
        <n v="3267605"/>
        <n v="1470749"/>
        <n v="1277109"/>
        <n v="9838401"/>
        <n v="6257100"/>
        <n v="7192722"/>
        <n v="3851946"/>
        <n v="8622524"/>
        <n v="1142382"/>
        <n v="4692350"/>
        <n v="2599178"/>
        <n v="7687473"/>
        <n v="3020684"/>
        <n v="4514408"/>
        <n v="1830275"/>
        <n v="7142329"/>
        <n v="7456740"/>
        <n v="2724220"/>
        <n v="8493261"/>
        <n v="5162598"/>
        <n v="2676021"/>
        <n v="2962764"/>
        <n v="8904458"/>
        <n v="7510607"/>
        <n v="5329399"/>
        <n v="8380440"/>
        <n v="7334181"/>
        <n v="4914742"/>
        <n v="6328248"/>
        <n v="8674552"/>
        <n v="4213996"/>
        <n v="8581039"/>
        <n v="4875109"/>
        <n v="6353869"/>
        <n v="1873173"/>
        <n v="9984419"/>
        <n v="6213848"/>
        <n v="1153524"/>
        <n v="7200174"/>
        <n v="8804981"/>
        <n v="5818183"/>
        <n v="9808718"/>
        <n v="1311669"/>
        <n v="1707586"/>
        <n v="3572122"/>
        <n v="6925454"/>
        <n v="4440408"/>
        <n v="4187990"/>
        <n v="3129629"/>
        <n v="8409594"/>
        <n v="1374187"/>
        <n v="2698256"/>
        <n v="2678756"/>
        <n v="1705110"/>
        <n v="1076436"/>
        <n v="9505639"/>
        <n v="2615064"/>
        <n v="6903521"/>
        <n v="2134592"/>
        <n v="5801413"/>
        <n v="5511043"/>
        <n v="3497936"/>
        <n v="7042697"/>
        <n v="9946527"/>
        <n v="5498902"/>
        <n v="1769485"/>
        <n v="9537500"/>
        <n v="2025560"/>
        <n v="8831912"/>
        <n v="3141522"/>
        <n v="3594055"/>
        <n v="5893149"/>
        <n v="1678250"/>
        <n v="7656218"/>
        <n v="5719111"/>
        <n v="7585324"/>
      </sharedItems>
    </cacheField>
    <cacheField name="Montant garanties" numFmtId="167">
      <sharedItems containsSemiMixedTypes="0" containsString="0" containsNumber="1" minValue="617807.4" maxValue="5995017" count="397">
        <n v="4001080.1999999997"/>
        <n v="1812843.5999999999"/>
        <n v="2631488.4"/>
        <n v="839624.4"/>
        <n v="1632214.2"/>
        <n v="2326302"/>
        <n v="3264101.4"/>
        <n v="5296390.2"/>
        <n v="5283663"/>
        <n v="1452162"/>
        <n v="2303027.4"/>
        <n v="2094483.5999999999"/>
        <n v="2296664.4"/>
        <n v="5728464"/>
        <n v="4583296.8"/>
        <n v="2831073"/>
        <n v="2117421.6"/>
        <n v="1013682"/>
        <n v="2230688.4"/>
        <n v="3729987"/>
        <n v="2954619.6"/>
        <n v="2070832.7999999998"/>
        <n v="749194.79999999993"/>
        <n v="3818830.8"/>
        <n v="5016171.5999999996"/>
        <n v="2693472"/>
        <n v="967591.79999999993"/>
        <n v="1391718.5999999999"/>
        <n v="3307455"/>
        <n v="5114128.8"/>
        <n v="2782794"/>
        <n v="5817415.7999999998"/>
        <n v="3916176.5999999996"/>
        <n v="1571656.2"/>
        <n v="3061500.6"/>
        <n v="2619759.6"/>
        <n v="2943862.8"/>
        <n v="4890558.5999999996"/>
        <n v="4846962"/>
        <n v="3751917"/>
        <n v="2986627.1999999997"/>
        <n v="4271800.2"/>
        <n v="1545568.2"/>
        <n v="4909686.5999999996"/>
        <n v="2017315.7999999998"/>
        <n v="5311396.8"/>
        <n v="1488957"/>
        <n v="5636246.3999999994"/>
        <n v="5012848.8"/>
        <n v="4430261.3999999994"/>
        <n v="3590809.1999999997"/>
        <n v="680418"/>
        <n v="1867209.5999999999"/>
        <n v="5800117.2000000002"/>
        <n v="679201.2"/>
        <n v="2397028.7999999998"/>
        <n v="5958493.2000000002"/>
        <n v="1604629.8"/>
        <n v="2510923.1999999997"/>
        <n v="2683561.1999999997"/>
        <n v="2617902"/>
        <n v="3819073.8"/>
        <n v="945943.2"/>
        <n v="3341936.4"/>
        <n v="3880662.5999999996"/>
        <n v="731926.79999999993"/>
        <n v="5577487.2000000002"/>
        <n v="1884072"/>
        <n v="1443591.5999999999"/>
        <n v="2298753.6"/>
        <n v="3434907"/>
        <n v="5198623.2"/>
        <n v="1888263.5999999999"/>
        <n v="4256874.5999999996"/>
        <n v="2006564.4"/>
        <n v="1953194.4"/>
        <n v="1781170.8"/>
        <n v="3153604.1999999997"/>
        <n v="857698.79999999993"/>
        <n v="3246380.4"/>
        <n v="5634173.3999999994"/>
        <n v="4152939"/>
        <n v="1514316"/>
        <n v="2598160.7999999998"/>
        <n v="3366614.4"/>
        <n v="3807566.4"/>
        <n v="1975931.4"/>
        <n v="4865254.8"/>
        <n v="3908940.5999999996"/>
        <n v="4007216.4"/>
        <n v="2216949"/>
        <n v="5734450.2000000002"/>
        <n v="4487112"/>
        <n v="4714540.8"/>
        <n v="963106.79999999993"/>
        <n v="4678203"/>
        <n v="1101928.8"/>
        <n v="1348965"/>
        <n v="3832059"/>
        <n v="3083199.6"/>
        <n v="904609.2"/>
        <n v="2881969.8"/>
        <n v="1146934.2"/>
        <n v="5947209.5999999996"/>
        <n v="4415532"/>
        <n v="2911902"/>
        <n v="3913026"/>
        <n v="4462883.3999999994"/>
        <n v="625890.6"/>
        <n v="3552312.6"/>
        <n v="1404228"/>
        <n v="5862291.5999999996"/>
        <n v="4902568.8"/>
        <n v="4111485"/>
        <n v="4161339"/>
        <n v="2959217.4"/>
        <n v="4536868.2"/>
        <n v="5549255.3999999994"/>
        <n v="4669774.2"/>
        <n v="2408138.4"/>
        <n v="5432920.7999999998"/>
        <n v="4676806.2"/>
        <n v="1414073.4"/>
        <n v="1756369.2"/>
        <n v="1106267.3999999999"/>
        <n v="4634519.3999999994"/>
        <n v="2025049.2"/>
        <n v="4761336"/>
        <n v="4960941"/>
        <n v="763196.4"/>
        <n v="3900988.8"/>
        <n v="5936894.3999999994"/>
        <n v="4683328.8"/>
        <n v="2250550.1999999997"/>
        <n v="3481906.8"/>
        <n v="639454.19999999995"/>
        <n v="1177892.3999999999"/>
        <n v="3678426.6"/>
        <n v="1114651.2"/>
        <n v="1064909.3999999999"/>
        <n v="2293854"/>
        <n v="1638255"/>
        <n v="4400582.3999999994"/>
        <n v="962459.39999999991"/>
        <n v="5044539"/>
        <n v="1230448.8"/>
        <n v="3949398.5999999996"/>
        <n v="3029272.1999999997"/>
        <n v="1021066.2"/>
        <n v="4111774.1999999997"/>
        <n v="4994967.5999999996"/>
        <n v="5562207.5999999996"/>
        <n v="1214658"/>
        <n v="5245863"/>
        <n v="4216995.5999999996"/>
        <n v="5287103.3999999994"/>
        <n v="814741.2"/>
        <n v="2274891.6"/>
        <n v="4669287.5999999996"/>
        <n v="5322774"/>
        <n v="3183313.1999999997"/>
        <n v="5179557.5999999996"/>
        <n v="5080228.2"/>
        <n v="1049223"/>
        <n v="1947590.4"/>
        <n v="5376707.3999999994"/>
        <n v="4993395.5999999996"/>
        <n v="4943151.5999999996"/>
        <n v="4807441.8"/>
        <n v="5102211"/>
        <n v="769036.79999999993"/>
        <n v="2246269.1999999997"/>
        <n v="4764514.2"/>
        <n v="5618709.5999999996"/>
        <n v="5575378.7999999998"/>
        <n v="2933820.6"/>
        <n v="4341846"/>
        <n v="4066534.1999999997"/>
        <n v="3900357"/>
        <n v="4291224.5999999996"/>
        <n v="1029134.3999999999"/>
        <n v="1532644.2"/>
        <n v="4234351.2"/>
        <n v="2642715.6"/>
        <n v="2843392.1999999997"/>
        <n v="3978111"/>
        <n v="1468037.4"/>
        <n v="2724871.8"/>
        <n v="5723659.2000000002"/>
        <n v="5749657.7999999998"/>
        <n v="1934476.2"/>
        <n v="3459460.1999999997"/>
        <n v="2893965.6"/>
        <n v="1764494.4"/>
        <n v="3205704"/>
        <n v="676261.79999999993"/>
        <n v="1539832.2"/>
        <n v="4375030.8"/>
        <n v="746388"/>
        <n v="1710885.5999999999"/>
        <n v="1552332.5999999999"/>
        <n v="2150867.4"/>
        <n v="5732947.7999999998"/>
        <n v="3760659"/>
        <n v="3669697.1999999997"/>
        <n v="1912101"/>
        <n v="3947582.4"/>
        <n v="968527.2"/>
        <n v="4651234.8"/>
        <n v="4170721.1999999997"/>
        <n v="5598759.5999999996"/>
        <n v="3643497.6"/>
        <n v="683748.6"/>
        <n v="5927614.2000000002"/>
        <n v="3545952"/>
        <n v="4028331"/>
        <n v="2334795"/>
        <n v="1187956.2"/>
        <n v="4003869"/>
        <n v="5016609"/>
        <n v="4652061.5999999996"/>
        <n v="846616.79999999993"/>
        <n v="5358589.2"/>
        <n v="4301242.8"/>
        <n v="2617348.1999999997"/>
        <n v="5693355"/>
        <n v="5819226.5999999996"/>
        <n v="1226600.3999999999"/>
        <n v="2307738"/>
        <n v="657364.79999999993"/>
        <n v="3553160.4"/>
        <n v="4317024.5999999996"/>
        <n v="5311119.5999999996"/>
        <n v="5995017"/>
        <n v="1372372.8"/>
        <n v="4751799.5999999996"/>
        <n v="4592906.3999999994"/>
        <n v="4863744"/>
        <n v="1238524.2"/>
        <n v="4774237.8"/>
        <n v="1220973.5999999999"/>
        <n v="1402792.8"/>
        <n v="5784154.7999999998"/>
        <n v="2258616.6"/>
        <n v="5758372.7999999998"/>
        <n v="2890360.1999999997"/>
        <n v="4036832.4"/>
        <n v="2131477.1999999997"/>
        <n v="3668773.8"/>
        <n v="5886907.2000000002"/>
        <n v="4095258"/>
        <n v="2547448.1999999997"/>
        <n v="2694993"/>
        <n v="2754100.8"/>
        <n v="1268932.2"/>
        <n v="5259905.3999999994"/>
        <n v="617807.4"/>
        <n v="3873856.1999999997"/>
        <n v="2446386.6"/>
        <n v="675005.4"/>
        <n v="2374966.1999999997"/>
        <n v="3048810"/>
        <n v="5589313.2000000002"/>
        <n v="5478186.5999999996"/>
        <n v="1845453.5999999999"/>
        <n v="4883419.2"/>
        <n v="2392150.1999999997"/>
        <n v="812737.2"/>
        <n v="5113575.5999999996"/>
        <n v="4050508.1999999997"/>
        <n v="1025618.3999999999"/>
        <n v="4887375"/>
        <n v="2950561.8"/>
        <n v="3356013"/>
        <n v="671131.79999999993"/>
        <n v="5315952.5999999996"/>
        <n v="2366940"/>
        <n v="4009575.5999999996"/>
        <n v="755421"/>
        <n v="1454882.4"/>
        <n v="2598951"/>
        <n v="2740794.6"/>
        <n v="4511351.3999999994"/>
        <n v="3419806.8"/>
        <n v="1103701.2"/>
        <n v="1321704"/>
        <n v="4519822.8"/>
        <n v="3727974"/>
        <n v="1776034.2"/>
        <n v="5884302"/>
        <n v="2347038"/>
        <n v="845431.2"/>
        <n v="2869986.6"/>
        <n v="3600166.1999999997"/>
        <n v="4215205.8"/>
        <n v="855187.2"/>
        <n v="5368241.3999999994"/>
        <n v="2745283.1999999997"/>
        <n v="1533264.5999999999"/>
        <n v="5040529.2"/>
        <n v="5514069.5999999996"/>
        <n v="1293848.3999999999"/>
        <n v="5121270.5999999996"/>
        <n v="4336872"/>
        <n v="621811.19999999995"/>
        <n v="4657489.2"/>
        <n v="4214363.3999999994"/>
        <n v="1255924.8"/>
        <n v="934017.6"/>
        <n v="5373700.7999999998"/>
        <n v="1848246"/>
        <n v="5388188.3999999994"/>
        <n v="5369702.3999999994"/>
        <n v="813551.4"/>
        <n v="1585328.4"/>
        <n v="5407858.7999999998"/>
        <n v="4717612.8"/>
        <n v="885238.79999999993"/>
        <n v="2361858"/>
        <n v="743588.4"/>
        <n v="4787934"/>
        <n v="1960563"/>
        <n v="882449.4"/>
        <n v="766265.4"/>
        <n v="5903040.5999999996"/>
        <n v="3754260"/>
        <n v="4315633.2"/>
        <n v="2311167.6"/>
        <n v="5173514.3999999994"/>
        <n v="685429.2"/>
        <n v="2815410"/>
        <n v="1559506.8"/>
        <n v="4612483.8"/>
        <n v="1812410.4"/>
        <n v="2708644.8"/>
        <n v="1098165"/>
        <n v="4285397.3999999994"/>
        <n v="4474044"/>
        <n v="1634532"/>
        <n v="5095956.5999999996"/>
        <n v="3097558.8"/>
        <n v="1605612.5999999999"/>
        <n v="1777658.4"/>
        <n v="5342674.8"/>
        <n v="4506364.2"/>
        <n v="3197639.4"/>
        <n v="5028264"/>
        <n v="4400508.5999999996"/>
        <n v="2948845.1999999997"/>
        <n v="3796948.8"/>
        <n v="5204731.2"/>
        <n v="2528397.6"/>
        <n v="5148623.3999999994"/>
        <n v="2925065.4"/>
        <n v="3812321.4"/>
        <n v="1123903.8"/>
        <n v="5990651.3999999994"/>
        <n v="3728308.8"/>
        <n v="692114.4"/>
        <n v="4320104.3999999994"/>
        <n v="5282988.5999999996"/>
        <n v="3490909.8"/>
        <n v="5885230.7999999998"/>
        <n v="787001.4"/>
        <n v="1024551.6"/>
        <n v="2143273.1999999997"/>
        <n v="4155272.4"/>
        <n v="2664244.7999999998"/>
        <n v="2512794"/>
        <n v="1877777.4"/>
        <n v="5045756.3999999994"/>
        <n v="824512.2"/>
        <n v="1618953.5999999999"/>
        <n v="1607253.5999999999"/>
        <n v="1023066"/>
        <n v="645861.6"/>
        <n v="5703383.3999999994"/>
        <n v="1569038.4"/>
        <n v="4142112.5999999996"/>
        <n v="1280755.2"/>
        <n v="3480847.8"/>
        <n v="3306625.8"/>
        <n v="2098761.6"/>
        <n v="4225618.2"/>
        <n v="5967916.2000000002"/>
        <n v="3299341.1999999997"/>
        <n v="1061691"/>
        <n v="5722500"/>
        <n v="1215336"/>
        <n v="5299147.2"/>
        <n v="1884913.2"/>
        <n v="2156433"/>
        <n v="3535889.4"/>
        <n v="1006950"/>
        <n v="4593730.8"/>
        <n v="3431466.6"/>
        <n v="4551194.3999999994"/>
      </sharedItems>
    </cacheField>
  </cacheFields>
  <extLst>
    <ext xmlns:x14="http://schemas.microsoft.com/office/spreadsheetml/2009/9/main" uri="{725AE2AE-9491-48be-B2B4-4EB974FC3084}">
      <x14:pivotCacheDefinition pivotCacheId="624495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33.429345949073" createdVersion="8" refreshedVersion="8" minRefreshableVersion="3" recordCount="400" xr:uid="{2EDE4537-62D6-4CAF-997F-A1F6B83052F3}">
  <cacheSource type="worksheet">
    <worksheetSource ref="A2:AF1048576" sheet="Data"/>
  </cacheSource>
  <cacheFields count="32">
    <cacheField name="Numéro Tiers" numFmtId="0">
      <sharedItems containsString="0" containsBlank="1" containsNumber="1" containsInteger="1" minValue="10301984091" maxValue="99618140827"/>
    </cacheField>
    <cacheField name="Collaborateurs" numFmtId="0">
      <sharedItems containsBlank="1" count="5">
        <s v="junior 1"/>
        <s v="junior 2"/>
        <s v="junior 3"/>
        <s v="junior 4"/>
        <m/>
      </sharedItems>
    </cacheField>
    <cacheField name="Compte BC" numFmtId="0">
      <sharedItems containsString="0" containsBlank="1" containsNumber="1" containsInteger="1" minValue="10081762844" maxValue="99922940371"/>
    </cacheField>
    <cacheField name="Nom Affaire" numFmtId="0">
      <sharedItems containsBlank="1"/>
    </cacheField>
    <cacheField name="Centre Affaires" numFmtId="49">
      <sharedItems containsBlank="1"/>
    </cacheField>
    <cacheField name="Numéro Crédit Bancaire" numFmtId="0">
      <sharedItems containsBlank="1"/>
    </cacheField>
    <cacheField name="REN/MEP" numFmtId="0">
      <sharedItems containsBlank="1"/>
    </cacheField>
    <cacheField name="Statut Acte Physique" numFmtId="0">
      <sharedItems containsBlank="1" count="3">
        <s v="OK"/>
        <s v="KO"/>
        <m/>
      </sharedItems>
    </cacheField>
    <cacheField name="Quotité" numFmtId="0">
      <sharedItems containsString="0" containsBlank="1" containsNumber="1" minValue="0.5" maxValue="0.7"/>
    </cacheField>
    <cacheField name="Date accord" numFmtId="0">
      <sharedItems containsNonDate="0" containsDate="1" containsString="0" containsBlank="1" minDate="2023-01-01T00:00:00" maxDate="2023-12-31T00:00:00"/>
    </cacheField>
    <cacheField name="Date Échéance" numFmtId="0">
      <sharedItems containsNonDate="0" containsDate="1" containsString="0" containsBlank="1" minDate="2024-07-01T00:00:00" maxDate="2025-07-01T00:00:00"/>
    </cacheField>
    <cacheField name="Statut Commission" numFmtId="0">
      <sharedItems containsBlank="1"/>
    </cacheField>
    <cacheField name="Date Règlement Commission" numFmtId="0">
      <sharedItems containsNonDate="0" containsDate="1" containsString="0" containsBlank="1" minDate="2023-01-03T00:00:00" maxDate="2023-12-26T00:00:00"/>
    </cacheField>
    <cacheField name="Date Envoi CCG 2024" numFmtId="0">
      <sharedItems containsNonDate="0" containsDate="1" containsString="0" containsBlank="1" minDate="2023-03-05T00:00:00" maxDate="2024-12-15T00:00:00"/>
    </cacheField>
    <cacheField name="Responsable CAF CCG 2024" numFmtId="0">
      <sharedItems containsBlank="1"/>
    </cacheField>
    <cacheField name="Dernier Propriétaire 2024" numFmtId="0">
      <sharedItems containsBlank="1"/>
    </cacheField>
    <cacheField name="Date Proprio 2024" numFmtId="0">
      <sharedItems containsNonDate="0" containsDate="1" containsString="0" containsBlank="1" minDate="2024-01-02T00:00:00" maxDate="2024-12-30T00:00:00"/>
    </cacheField>
    <cacheField name="Statut" numFmtId="0">
      <sharedItems containsBlank="1"/>
    </cacheField>
    <cacheField name="Identifiant Crédit 2024" numFmtId="0">
      <sharedItems containsBlank="1"/>
    </cacheField>
    <cacheField name="Num Acte 2024" numFmtId="0">
      <sharedItems containsBlank="1"/>
    </cacheField>
    <cacheField name="Montant Ligne" numFmtId="0">
      <sharedItems containsString="0" containsBlank="1" containsNumber="1" containsInteger="1" minValue="1029679" maxValue="9991695"/>
    </cacheField>
    <cacheField name="Montant Garantie" numFmtId="0">
      <sharedItems containsString="0" containsBlank="1" containsNumber="1" minValue="617807.4" maxValue="5995017"/>
    </cacheField>
    <cacheField name="Montant Commission 2024" numFmtId="0">
      <sharedItems containsString="0" containsBlank="1" containsNumber="1" minValue="102967.90000000001" maxValue="999169.5"/>
    </cacheField>
    <cacheField name="Date Paiement Commission 2024" numFmtId="0">
      <sharedItems containsNonDate="0" containsDate="1" containsString="0" containsBlank="1" minDate="2024-01-03T00:00:00" maxDate="2024-12-30T00:00:00"/>
    </cacheField>
    <cacheField name="Statut acte physique 2" numFmtId="0">
      <sharedItems containsBlank="1" count="3">
        <s v="OK"/>
        <s v="KO"/>
        <m/>
      </sharedItems>
    </cacheField>
    <cacheField name="Échéance Garantie" numFmtId="0">
      <sharedItems containsBlank="1"/>
    </cacheField>
    <cacheField name="Statut Garantie" numFmtId="0">
      <sharedItems containsBlank="1" count="3">
        <s v="Echue"/>
        <s v="Valide"/>
        <m/>
      </sharedItems>
    </cacheField>
    <cacheField name="Commission Payée" numFmtId="0">
      <sharedItems containsBlank="1" count="3">
        <s v="OK"/>
        <s v="KO"/>
        <m/>
      </sharedItems>
    </cacheField>
    <cacheField name="Acte Valide+comission payé+annexe" numFmtId="0">
      <sharedItems containsBlank="1"/>
    </cacheField>
    <cacheField name="Flag a renouveller " numFmtId="0">
      <sharedItems containsBlank="1" count="3">
        <s v="A renouveller"/>
        <s v="Valide"/>
        <m/>
      </sharedItems>
    </cacheField>
    <cacheField name="Montant lignes" numFmtId="0">
      <sharedItems containsBlank="1" containsMixedTypes="1" containsNumber="1" containsInteger="1" minValue="1029679" maxValue="9991695"/>
    </cacheField>
    <cacheField name="Montant garanties" numFmtId="0">
      <sharedItems containsString="0" containsBlank="1" containsNumber="1" minValue="617807.4" maxValue="5995017"/>
    </cacheField>
  </cacheFields>
  <extLst>
    <ext xmlns:x14="http://schemas.microsoft.com/office/spreadsheetml/2009/9/main" uri="{725AE2AE-9491-48be-B2B4-4EB974FC3084}">
      <x14:pivotCacheDefinition pivotCacheId="104378214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89.654493981485" createdVersion="8" refreshedVersion="8" minRefreshableVersion="3" recordCount="12" xr:uid="{CE88F2CF-E873-4A69-AA97-53F45F9786E6}">
  <cacheSource type="worksheet">
    <worksheetSource ref="I28:I40" sheet="Feuil3" r:id="rId2"/>
  </cacheSource>
  <cacheFields count="1">
    <cacheField name="mois 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</cacheFields>
  <extLst>
    <ext xmlns:x14="http://schemas.microsoft.com/office/spreadsheetml/2009/9/main" uri="{725AE2AE-9491-48be-B2B4-4EB974FC3084}">
      <x14:pivotCacheDefinition pivotCacheId="74700309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x v="0"/>
    <x v="0"/>
    <n v="79554346445"/>
    <s v="2M Atlas"/>
    <x v="0"/>
    <s v="21554/2023/1"/>
    <x v="0"/>
    <s v="OK"/>
    <n v="0.6"/>
    <d v="2023-05-17T00:00:00"/>
    <d v="2024-11-17T00:00:00"/>
    <s v="Pas réglé"/>
    <m/>
    <m/>
    <m/>
    <m/>
    <m/>
    <m/>
    <s v="92891/2023/1"/>
    <s v="4150/2024/PO/DRE/CAC/ND"/>
    <n v="9490769"/>
    <n v="5694461.3999999994"/>
    <n v="949076.9"/>
    <d v="2024-03-17T00:00:00"/>
    <s v="OK"/>
    <s v="Echue"/>
    <x v="0"/>
    <s v="OK"/>
    <s v="OK"/>
    <s v="A renouveller"/>
    <x v="0"/>
    <x v="0"/>
  </r>
  <r>
    <x v="1"/>
    <x v="0"/>
    <n v="44218822471"/>
    <s v="Cosumar"/>
    <x v="1"/>
    <s v="78467/2023/1"/>
    <x v="1"/>
    <s v="OK"/>
    <n v="0.7"/>
    <d v="2023-10-15T00:00:00"/>
    <d v="2025-04-15T00:00:00"/>
    <s v="Pas réglé"/>
    <m/>
    <m/>
    <m/>
    <m/>
    <m/>
    <m/>
    <s v="62461/2023/1"/>
    <s v="2876/2024/PO/DRE/CAC/ND"/>
    <n v="6668467"/>
    <n v="4001080.1999999997"/>
    <n v="666846.70000000007"/>
    <d v="2024-11-29T00:00:00"/>
    <s v="OK"/>
    <s v="Valide"/>
    <x v="1"/>
    <s v="KO"/>
    <s v="OK"/>
    <s v="A renouveller"/>
    <x v="1"/>
    <x v="1"/>
  </r>
  <r>
    <x v="2"/>
    <x v="0"/>
    <n v="92226882915"/>
    <s v="BMCE Bank"/>
    <x v="2"/>
    <s v="83621/2023/1"/>
    <x v="1"/>
    <s v="OK"/>
    <n v="0.5"/>
    <d v="2023-01-17T00:00:00"/>
    <d v="2024-07-17T00:00:00"/>
    <s v="Réglé"/>
    <d v="2023-10-06T00:00:00"/>
    <d v="2023-05-30T00:00:00"/>
    <s v="DOUNIALI"/>
    <s v="Front"/>
    <d v="2024-11-06T00:00:00"/>
    <s v="demander canevas"/>
    <s v="29193/2023/1"/>
    <s v="7093/2024/PO/DRE/CAC/ND"/>
    <n v="3021406"/>
    <n v="1812843.5999999999"/>
    <n v="302140.60000000003"/>
    <d v="2024-06-28T00:00:00"/>
    <s v="OK"/>
    <s v="Echue"/>
    <x v="1"/>
    <s v="KO"/>
    <s v="OK"/>
    <s v="A renouveller"/>
    <x v="2"/>
    <x v="2"/>
  </r>
  <r>
    <x v="3"/>
    <x v="0"/>
    <n v="24256382979"/>
    <s v="Cosumar"/>
    <x v="3"/>
    <s v="75836/2023/1"/>
    <x v="1"/>
    <s v="OK"/>
    <n v="0.6"/>
    <d v="2023-07-13T00:00:00"/>
    <d v="2025-01-13T00:00:00"/>
    <s v="Pas réglé"/>
    <m/>
    <m/>
    <m/>
    <m/>
    <m/>
    <m/>
    <s v="22434/2023/1"/>
    <s v="7172/2024/PO/DRE/CAC/ND"/>
    <n v="4385814"/>
    <n v="2631488.4"/>
    <n v="438581.4"/>
    <d v="2024-09-18T00:00:00"/>
    <s v="KO"/>
    <s v="Valide"/>
    <x v="1"/>
    <s v="KO"/>
    <s v="KO"/>
    <s v="A renouveller"/>
    <x v="3"/>
    <x v="3"/>
  </r>
  <r>
    <x v="4"/>
    <x v="0"/>
    <n v="15834939355"/>
    <s v="Banque Populaire"/>
    <x v="4"/>
    <s v="68851/2023/1"/>
    <x v="1"/>
    <s v="OK"/>
    <n v="0.6"/>
    <d v="2023-10-07T00:00:00"/>
    <d v="2025-04-07T00:00:00"/>
    <s v="Pas réglé"/>
    <m/>
    <m/>
    <m/>
    <m/>
    <m/>
    <m/>
    <s v="41055/2023/1"/>
    <s v="1547/2024/PO/DRE/CAC/ND"/>
    <n v="1399374"/>
    <n v="839624.4"/>
    <n v="139937.4"/>
    <d v="2024-04-23T00:00:00"/>
    <s v="OK"/>
    <s v="Valide"/>
    <x v="1"/>
    <s v="OK"/>
    <s v="OK"/>
    <s v="A renouveller"/>
    <x v="4"/>
    <x v="4"/>
  </r>
  <r>
    <x v="5"/>
    <x v="0"/>
    <n v="90258909190"/>
    <s v="Société Générale Maroc"/>
    <x v="3"/>
    <s v="29259/2023/1"/>
    <x v="0"/>
    <s v="OK"/>
    <n v="0.5"/>
    <d v="2023-11-01T00:00:00"/>
    <d v="2025-05-01T00:00:00"/>
    <s v="Pas réglé"/>
    <m/>
    <m/>
    <m/>
    <m/>
    <m/>
    <m/>
    <s v="76690/2023/1"/>
    <s v="3812/2024/PO/DRE/CAC/ND"/>
    <n v="2720357"/>
    <n v="1632214.2"/>
    <n v="272035.7"/>
    <d v="2024-07-15T00:00:00"/>
    <s v="OK"/>
    <s v="Echue"/>
    <x v="1"/>
    <s v="KO"/>
    <s v="OK"/>
    <s v="Valide"/>
    <x v="5"/>
    <x v="5"/>
  </r>
  <r>
    <x v="6"/>
    <x v="0"/>
    <n v="19230422172"/>
    <s v="Banque Populaire"/>
    <x v="3"/>
    <s v="61217/2023/1"/>
    <x v="0"/>
    <s v="OK"/>
    <n v="0.6"/>
    <d v="2023-05-18T00:00:00"/>
    <d v="2024-11-18T00:00:00"/>
    <s v="Réglé"/>
    <d v="2023-03-24T00:00:00"/>
    <d v="2023-08-03T00:00:00"/>
    <s v="DOUNIALI"/>
    <s v="Front"/>
    <d v="2024-03-08T00:00:00"/>
    <m/>
    <s v="56265/2023/1"/>
    <s v="5582/2024/PO/DRE/CAC/ND"/>
    <n v="3877170"/>
    <n v="2326302"/>
    <n v="387717"/>
    <d v="2024-12-19T00:00:00"/>
    <s v="KO"/>
    <s v="Echue"/>
    <x v="1"/>
    <s v="KO"/>
    <s v="KO"/>
    <s v="A renouveller"/>
    <x v="6"/>
    <x v="6"/>
  </r>
  <r>
    <x v="7"/>
    <x v="0"/>
    <n v="10081762844"/>
    <s v="OCP Group"/>
    <x v="0"/>
    <s v="40972/2023/1"/>
    <x v="0"/>
    <s v="OK"/>
    <n v="0.6"/>
    <d v="2023-03-21T00:00:00"/>
    <d v="2024-09-21T00:00:00"/>
    <s v="Réglé"/>
    <d v="2023-12-05T00:00:00"/>
    <d v="2023-06-19T00:00:00"/>
    <s v="OCTROI"/>
    <s v="Front"/>
    <d v="2024-09-01T00:00:00"/>
    <m/>
    <s v="56269/2023/1"/>
    <s v="3857/2024/PO/DRE/CAC/ND"/>
    <n v="5440169"/>
    <n v="3264101.4"/>
    <n v="544016.9"/>
    <d v="2024-08-16T00:00:00"/>
    <s v="KO"/>
    <s v="Echue"/>
    <x v="1"/>
    <s v="KO"/>
    <s v="KO"/>
    <s v="Valide"/>
    <x v="7"/>
    <x v="7"/>
  </r>
  <r>
    <x v="8"/>
    <x v="0"/>
    <n v="44448567637"/>
    <s v="Cosumar"/>
    <x v="5"/>
    <s v="79151/2023/1"/>
    <x v="0"/>
    <s v="OK"/>
    <n v="0.6"/>
    <d v="2023-01-13T00:00:00"/>
    <d v="2024-07-13T00:00:00"/>
    <s v="Pas réglé"/>
    <m/>
    <m/>
    <m/>
    <m/>
    <m/>
    <m/>
    <s v="92552/2023/1"/>
    <s v="8881/2024/PO/DRE/CAC/ND"/>
    <n v="8827317"/>
    <n v="5296390.2"/>
    <n v="882731.70000000007"/>
    <d v="2024-05-29T00:00:00"/>
    <s v="KO"/>
    <s v="Echue"/>
    <x v="1"/>
    <s v="OK"/>
    <s v="KO"/>
    <s v="A renouveller"/>
    <x v="8"/>
    <x v="8"/>
  </r>
  <r>
    <x v="9"/>
    <x v="0"/>
    <n v="24651475066"/>
    <s v="Maghreb Steel"/>
    <x v="4"/>
    <s v="90406/2023/1"/>
    <x v="0"/>
    <s v="OK"/>
    <n v="0.5"/>
    <d v="2023-06-20T00:00:00"/>
    <d v="2024-12-20T00:00:00"/>
    <s v="Réglé"/>
    <d v="2023-10-31T00:00:00"/>
    <d v="2024-01-21T00:00:00"/>
    <s v="DOUNIALI"/>
    <s v="Front"/>
    <d v="2024-03-03T00:00:00"/>
    <m/>
    <s v="62628/2023/1"/>
    <s v="2282/2024/PO/DRE/CAC/ND"/>
    <n v="8806105"/>
    <n v="5283663"/>
    <n v="880610.5"/>
    <d v="2024-09-20T00:00:00"/>
    <s v="KO"/>
    <s v="Echue"/>
    <x v="1"/>
    <s v="OK"/>
    <s v="KO"/>
    <s v="A renouveller"/>
    <x v="9"/>
    <x v="9"/>
  </r>
  <r>
    <x v="10"/>
    <x v="0"/>
    <n v="14936950089"/>
    <s v="BMCE Bank"/>
    <x v="3"/>
    <s v="53539/2023/1"/>
    <x v="0"/>
    <s v="OK"/>
    <n v="0.6"/>
    <d v="2023-11-18T00:00:00"/>
    <d v="2025-05-18T00:00:00"/>
    <s v="Réglé"/>
    <d v="2023-03-27T00:00:00"/>
    <d v="2024-08-04T00:00:00"/>
    <s v="DOUNIALI"/>
    <s v="Front"/>
    <d v="2024-09-09T00:00:00"/>
    <m/>
    <s v="38445/2023/1"/>
    <s v="7556/2024/PO/DRE/CAC/ND"/>
    <n v="2420270"/>
    <n v="1452162"/>
    <n v="242027"/>
    <d v="2024-11-29T00:00:00"/>
    <s v="OK"/>
    <s v="Echue"/>
    <x v="1"/>
    <s v="KO"/>
    <s v="OK"/>
    <s v="Valide"/>
    <x v="10"/>
    <x v="10"/>
  </r>
  <r>
    <x v="11"/>
    <x v="0"/>
    <n v="97438695954"/>
    <s v="Ciments du Maroc"/>
    <x v="6"/>
    <s v="62668/2023/1"/>
    <x v="0"/>
    <s v="OK"/>
    <n v="0.7"/>
    <d v="2023-09-22T00:00:00"/>
    <d v="2025-03-22T00:00:00"/>
    <s v="Pas réglé"/>
    <m/>
    <m/>
    <m/>
    <m/>
    <m/>
    <m/>
    <s v="84053/2023/1"/>
    <s v="8574/2024/PO/DRE/CAC/ND"/>
    <n v="3838379"/>
    <n v="2303027.4"/>
    <n v="383837.9"/>
    <d v="2024-06-20T00:00:00"/>
    <s v="OK"/>
    <s v="Valide"/>
    <x v="1"/>
    <s v="KO"/>
    <s v="OK"/>
    <s v="A renouveller"/>
    <x v="11"/>
    <x v="11"/>
  </r>
  <r>
    <x v="12"/>
    <x v="0"/>
    <n v="17366303576"/>
    <s v="OCP Group"/>
    <x v="7"/>
    <s v="60893/2023/1"/>
    <x v="1"/>
    <s v="OK"/>
    <n v="0.6"/>
    <d v="2023-10-24T00:00:00"/>
    <d v="2025-04-24T00:00:00"/>
    <s v="Réglé"/>
    <d v="2023-03-21T00:00:00"/>
    <d v="2023-11-21T00:00:00"/>
    <s v="OCTROI"/>
    <s v="Front"/>
    <d v="2024-08-20T00:00:00"/>
    <s v="non localisé"/>
    <s v="16571/2023/1"/>
    <s v="9332/2024/PO/DRE/CAC/ND"/>
    <n v="3490806"/>
    <n v="2094483.5999999999"/>
    <n v="349080.60000000003"/>
    <d v="2024-10-20T00:00:00"/>
    <s v="OK"/>
    <s v="Echue"/>
    <x v="1"/>
    <s v="KO"/>
    <s v="OK"/>
    <s v="Valide"/>
    <x v="12"/>
    <x v="12"/>
  </r>
  <r>
    <x v="13"/>
    <x v="0"/>
    <n v="84560662767"/>
    <s v="Maghreb Steel"/>
    <x v="2"/>
    <s v="23878/2023/1"/>
    <x v="0"/>
    <s v="OK"/>
    <n v="0.6"/>
    <d v="2023-04-20T00:00:00"/>
    <d v="2024-10-20T00:00:00"/>
    <s v="Pas réglé"/>
    <m/>
    <m/>
    <m/>
    <m/>
    <m/>
    <m/>
    <s v="49818/2023/1"/>
    <s v="5924/2024/PO/DRE/CAC/ND"/>
    <n v="3827774"/>
    <n v="2296664.4"/>
    <n v="382777.4"/>
    <d v="2024-05-01T00:00:00"/>
    <s v="OK"/>
    <s v="Valide"/>
    <x v="1"/>
    <s v="KO"/>
    <s v="OK"/>
    <s v="A renouveller"/>
    <x v="13"/>
    <x v="13"/>
  </r>
  <r>
    <x v="14"/>
    <x v="0"/>
    <n v="54234709072"/>
    <s v="2M Atlas"/>
    <x v="1"/>
    <s v="49412/2023/1"/>
    <x v="1"/>
    <s v="OK"/>
    <n v="0.6"/>
    <d v="2023-02-24T00:00:00"/>
    <d v="2024-08-24T00:00:00"/>
    <s v="Réglé"/>
    <d v="2023-04-19T00:00:00"/>
    <d v="2023-03-11T00:00:00"/>
    <s v="OCTROI"/>
    <s v="Tamwilcom"/>
    <d v="2024-12-27T00:00:00"/>
    <m/>
    <s v="37924/2023/1"/>
    <s v="2563/2024/PO/DRE/CAC/ND"/>
    <n v="9547440"/>
    <n v="5728464"/>
    <n v="954744"/>
    <d v="2024-05-29T00:00:00"/>
    <s v="KO"/>
    <s v="Valide"/>
    <x v="1"/>
    <s v="KO"/>
    <s v="KO"/>
    <s v="A renouveller"/>
    <x v="14"/>
    <x v="14"/>
  </r>
  <r>
    <x v="15"/>
    <x v="0"/>
    <n v="20568765561"/>
    <s v="Maroc Telecom"/>
    <x v="0"/>
    <s v="84393/2023/1"/>
    <x v="0"/>
    <s v="OK"/>
    <n v="0.6"/>
    <d v="2023-12-24T00:00:00"/>
    <d v="2025-06-24T00:00:00"/>
    <s v="Réglé"/>
    <d v="2023-06-11T00:00:00"/>
    <d v="2024-11-09T00:00:00"/>
    <s v="OCTROI"/>
    <s v="Front"/>
    <d v="2024-04-26T00:00:00"/>
    <m/>
    <s v="21911/2023/1"/>
    <s v="7259/2024/PO/DRE/CAC/ND"/>
    <n v="7638828"/>
    <n v="4583296.8"/>
    <n v="763882.8"/>
    <d v="2024-04-03T00:00:00"/>
    <s v="KO"/>
    <s v="Echue"/>
    <x v="1"/>
    <s v="KO"/>
    <s v="KO"/>
    <s v="A renouveller"/>
    <x v="15"/>
    <x v="15"/>
  </r>
  <r>
    <x v="16"/>
    <x v="0"/>
    <n v="97462877906"/>
    <s v="Cosumar"/>
    <x v="6"/>
    <s v="30956/2023/1"/>
    <x v="0"/>
    <s v="OK"/>
    <n v="0.6"/>
    <d v="2023-11-21T00:00:00"/>
    <d v="2025-05-21T00:00:00"/>
    <s v="Pas réglé"/>
    <m/>
    <m/>
    <m/>
    <m/>
    <m/>
    <m/>
    <s v="42219/2023/1"/>
    <s v="2418/2024/PO/DRE/CAC/ND"/>
    <n v="4718455"/>
    <n v="2831073"/>
    <n v="471845.5"/>
    <d v="2024-02-29T00:00:00"/>
    <s v="OK"/>
    <s v="Echue"/>
    <x v="1"/>
    <s v="KO"/>
    <s v="OK"/>
    <s v="A renouveller"/>
    <x v="16"/>
    <x v="16"/>
  </r>
  <r>
    <x v="17"/>
    <x v="0"/>
    <n v="84406524158"/>
    <s v="OCP Group"/>
    <x v="0"/>
    <s v="33934/2023/1"/>
    <x v="1"/>
    <s v="OK"/>
    <n v="0.6"/>
    <d v="2023-06-08T00:00:00"/>
    <d v="2024-12-08T00:00:00"/>
    <s v="Pas réglé"/>
    <m/>
    <m/>
    <m/>
    <m/>
    <m/>
    <m/>
    <s v="86141/2023/1"/>
    <s v="7305/2024/PO/DRE/CAC/ND"/>
    <n v="3529036"/>
    <n v="2117421.6"/>
    <n v="352903.60000000003"/>
    <d v="2024-03-11T00:00:00"/>
    <s v="OK"/>
    <s v="Valide"/>
    <x v="1"/>
    <s v="OK"/>
    <s v="OK"/>
    <s v="Valide"/>
    <x v="17"/>
    <x v="17"/>
  </r>
  <r>
    <x v="18"/>
    <x v="0"/>
    <n v="18686871956"/>
    <s v="Banque Populaire"/>
    <x v="3"/>
    <s v="46592/2023/1"/>
    <x v="0"/>
    <s v="OK"/>
    <n v="0.6"/>
    <d v="2023-04-02T00:00:00"/>
    <d v="2024-10-02T00:00:00"/>
    <s v="Réglé"/>
    <d v="2023-12-21T00:00:00"/>
    <d v="2024-01-08T00:00:00"/>
    <s v="OCTROI"/>
    <s v="Tamwilcom"/>
    <d v="2024-11-14T00:00:00"/>
    <m/>
    <s v="50037/2023/1"/>
    <s v="9619/2024/PO/DRE/CAC/ND"/>
    <n v="1689470"/>
    <n v="1013682"/>
    <n v="168947"/>
    <d v="2024-07-21T00:00:00"/>
    <s v="KO"/>
    <s v="Echue"/>
    <x v="1"/>
    <s v="OK"/>
    <s v="KO"/>
    <s v="A renouveller"/>
    <x v="18"/>
    <x v="18"/>
  </r>
  <r>
    <x v="19"/>
    <x v="0"/>
    <n v="73080038306"/>
    <s v="Ciments du Maroc"/>
    <x v="6"/>
    <s v="83850/2023/1"/>
    <x v="1"/>
    <s v="OK"/>
    <n v="0.6"/>
    <d v="2023-01-16T00:00:00"/>
    <d v="2024-07-16T00:00:00"/>
    <s v="Réglé"/>
    <d v="2023-01-10T00:00:00"/>
    <d v="2023-03-07T00:00:00"/>
    <s v="OCTROI"/>
    <s v="Front"/>
    <d v="2024-06-19T00:00:00"/>
    <m/>
    <s v="13803/2023/1"/>
    <s v="2686/2024/PO/DRE/CAC/ND"/>
    <n v="3717814"/>
    <n v="2230688.4"/>
    <n v="371781.4"/>
    <d v="2024-12-28T00:00:00"/>
    <s v="KO"/>
    <s v="Valide"/>
    <x v="1"/>
    <s v="OK"/>
    <s v="KO"/>
    <s v="Valide"/>
    <x v="19"/>
    <x v="19"/>
  </r>
  <r>
    <x v="20"/>
    <x v="0"/>
    <n v="28926351334"/>
    <s v="Ciments du Maroc"/>
    <x v="6"/>
    <s v="25305/2023/1"/>
    <x v="0"/>
    <s v="OK"/>
    <n v="0.6"/>
    <d v="2023-01-09T00:00:00"/>
    <d v="2024-07-09T00:00:00"/>
    <s v="Pas réglé"/>
    <m/>
    <m/>
    <m/>
    <m/>
    <m/>
    <m/>
    <s v="82296/2023/1"/>
    <s v="3496/2024/PO/DRE/CAC/ND"/>
    <n v="6216645"/>
    <n v="3729987"/>
    <n v="621664.5"/>
    <d v="2024-04-26T00:00:00"/>
    <s v="KO"/>
    <s v="Echue"/>
    <x v="1"/>
    <s v="KO"/>
    <s v="KO"/>
    <s v="A renouveller"/>
    <x v="20"/>
    <x v="20"/>
  </r>
  <r>
    <x v="21"/>
    <x v="0"/>
    <n v="87786163859"/>
    <s v="Société Générale Maroc"/>
    <x v="0"/>
    <s v="73630/2023/1"/>
    <x v="0"/>
    <s v="OK"/>
    <n v="0.6"/>
    <d v="2023-04-16T00:00:00"/>
    <d v="2024-10-16T00:00:00"/>
    <s v="Pas réglé"/>
    <m/>
    <m/>
    <m/>
    <m/>
    <m/>
    <m/>
    <s v="75804/2023/1"/>
    <s v="3654/2024/PO/DRE/CAC/ND"/>
    <n v="4924366"/>
    <n v="2954619.6"/>
    <n v="492436.60000000003"/>
    <d v="2024-06-07T00:00:00"/>
    <s v="KO"/>
    <s v="Echue"/>
    <x v="1"/>
    <s v="KO"/>
    <s v="KO"/>
    <s v="A renouveller"/>
    <x v="21"/>
    <x v="21"/>
  </r>
  <r>
    <x v="22"/>
    <x v="0"/>
    <n v="35109109344"/>
    <s v="Banque Populaire"/>
    <x v="6"/>
    <s v="64808/2023/1"/>
    <x v="0"/>
    <s v="OK"/>
    <n v="0.6"/>
    <d v="2023-02-01T00:00:00"/>
    <d v="2024-08-01T00:00:00"/>
    <s v="Réglé"/>
    <d v="2023-03-23T00:00:00"/>
    <d v="2023-06-10T00:00:00"/>
    <s v="OCTROI"/>
    <s v="Tamwilcom"/>
    <d v="2024-07-23T00:00:00"/>
    <m/>
    <s v="90313/2023/1"/>
    <s v="9350/2024/PO/DRE/CAC/ND"/>
    <n v="3451388"/>
    <n v="2070832.7999999998"/>
    <n v="345138.80000000005"/>
    <d v="2024-01-06T00:00:00"/>
    <s v="OK"/>
    <s v="Valide"/>
    <x v="1"/>
    <s v="OK"/>
    <s v="OK"/>
    <s v="Valide"/>
    <x v="22"/>
    <x v="22"/>
  </r>
  <r>
    <x v="23"/>
    <x v="0"/>
    <n v="91937346298"/>
    <s v="BMCE Bank"/>
    <x v="1"/>
    <s v="36107/2023/1"/>
    <x v="1"/>
    <s v="OK"/>
    <n v="0.6"/>
    <d v="2023-02-24T00:00:00"/>
    <d v="2024-08-24T00:00:00"/>
    <s v="Réglé"/>
    <d v="2023-10-30T00:00:00"/>
    <d v="2023-07-04T00:00:00"/>
    <s v="OCTROI"/>
    <s v="Front"/>
    <d v="2024-03-28T00:00:00"/>
    <m/>
    <s v="18599/2023/1"/>
    <s v="9872/2024/PO/DRE/CAC/ND"/>
    <n v="1248658"/>
    <n v="749194.79999999993"/>
    <n v="124865.8"/>
    <d v="2024-04-20T00:00:00"/>
    <s v="KO"/>
    <s v="Echue"/>
    <x v="1"/>
    <s v="OK"/>
    <s v="KO"/>
    <s v="Valide"/>
    <x v="23"/>
    <x v="23"/>
  </r>
  <r>
    <x v="24"/>
    <x v="0"/>
    <n v="52516328677"/>
    <s v="Managem"/>
    <x v="3"/>
    <s v="59999/2023/1"/>
    <x v="1"/>
    <s v="KO"/>
    <n v="0.7"/>
    <d v="2023-12-23T00:00:00"/>
    <d v="2025-06-23T00:00:00"/>
    <s v="Pas réglé"/>
    <m/>
    <m/>
    <m/>
    <m/>
    <m/>
    <m/>
    <s v="36064/2023/1"/>
    <s v="2183/2024/PO/DRE/CAC/ND"/>
    <n v="6364718"/>
    <n v="3818830.8"/>
    <n v="636471.80000000005"/>
    <d v="2024-10-30T00:00:00"/>
    <s v="KO"/>
    <s v="Echue"/>
    <x v="1"/>
    <s v="KO"/>
    <s v="KO"/>
    <s v="Valide"/>
    <x v="24"/>
    <x v="24"/>
  </r>
  <r>
    <x v="25"/>
    <x v="0"/>
    <n v="59199015254"/>
    <s v="OCP Group"/>
    <x v="5"/>
    <s v="95718/2023/1"/>
    <x v="0"/>
    <s v="KO"/>
    <n v="0.6"/>
    <d v="2023-03-10T00:00:00"/>
    <d v="2024-09-10T00:00:00"/>
    <s v="Réglé"/>
    <d v="2023-08-18T00:00:00"/>
    <d v="2023-09-20T00:00:00"/>
    <s v="DOUNIALI"/>
    <s v="Front"/>
    <d v="2024-12-12T00:00:00"/>
    <m/>
    <s v="63920/2023/1"/>
    <s v="3914/2024/PO/DRE/CAC/ND"/>
    <n v="8360286"/>
    <n v="5016171.5999999996"/>
    <n v="836028.60000000009"/>
    <d v="2024-09-15T00:00:00"/>
    <s v="KO"/>
    <s v="Valide"/>
    <x v="1"/>
    <s v="KO"/>
    <s v="KO"/>
    <s v="Valide"/>
    <x v="25"/>
    <x v="25"/>
  </r>
  <r>
    <x v="26"/>
    <x v="0"/>
    <n v="95188652202"/>
    <s v="Maghreb Steel"/>
    <x v="5"/>
    <s v="52938/2023/1"/>
    <x v="0"/>
    <s v="KO"/>
    <n v="0.5"/>
    <d v="2023-07-28T00:00:00"/>
    <d v="2025-01-28T00:00:00"/>
    <s v="Pas réglé"/>
    <m/>
    <m/>
    <m/>
    <m/>
    <m/>
    <m/>
    <s v="56967/2023/1"/>
    <s v="2523/2024/PO/DRE/CAC/ND"/>
    <n v="4489120"/>
    <n v="2693472"/>
    <n v="448912"/>
    <d v="2024-05-22T00:00:00"/>
    <s v="KO"/>
    <s v="Valide"/>
    <x v="1"/>
    <s v="OK"/>
    <s v="KO"/>
    <s v="A renouveller"/>
    <x v="26"/>
    <x v="26"/>
  </r>
  <r>
    <x v="27"/>
    <x v="0"/>
    <n v="82813507287"/>
    <s v="BMCE Bank"/>
    <x v="7"/>
    <s v="43478/2023/1"/>
    <x v="0"/>
    <s v="KO"/>
    <n v="0.6"/>
    <d v="2023-02-10T00:00:00"/>
    <d v="2024-08-10T00:00:00"/>
    <s v="Réglé"/>
    <d v="2023-07-15T00:00:00"/>
    <d v="2024-01-25T00:00:00"/>
    <s v="OCTROI"/>
    <s v="Front"/>
    <d v="2024-07-19T00:00:00"/>
    <m/>
    <s v="11251/2023/1"/>
    <s v="1250/2024/PO/DRE/CAC/ND"/>
    <n v="1612653"/>
    <n v="967591.79999999993"/>
    <n v="161265.30000000002"/>
    <d v="2024-03-03T00:00:00"/>
    <s v="KO"/>
    <s v="Valide"/>
    <x v="1"/>
    <s v="KO"/>
    <s v="KO"/>
    <s v="Valide"/>
    <x v="27"/>
    <x v="27"/>
  </r>
  <r>
    <x v="28"/>
    <x v="0"/>
    <n v="67209129585"/>
    <s v="Maghreb Steel"/>
    <x v="0"/>
    <s v="61149/2023/1"/>
    <x v="1"/>
    <s v="OK"/>
    <n v="0.6"/>
    <d v="2023-12-29T00:00:00"/>
    <d v="2025-06-29T00:00:00"/>
    <s v="Pas réglé"/>
    <m/>
    <m/>
    <m/>
    <m/>
    <m/>
    <m/>
    <s v="87864/2023/1"/>
    <s v="5241/2024/PO/DRE/CAC/ND"/>
    <n v="2319531"/>
    <n v="1391718.5999999999"/>
    <n v="231953.1"/>
    <d v="2024-01-11T00:00:00"/>
    <s v="OK"/>
    <s v="Echue"/>
    <x v="1"/>
    <s v="KO"/>
    <s v="OK"/>
    <s v="Valide"/>
    <x v="28"/>
    <x v="28"/>
  </r>
  <r>
    <x v="29"/>
    <x v="0"/>
    <n v="59712898638"/>
    <s v="Ciments du Maroc"/>
    <x v="2"/>
    <s v="54274/2023/1"/>
    <x v="1"/>
    <s v="KO"/>
    <n v="0.7"/>
    <d v="2023-09-13T00:00:00"/>
    <d v="2025-03-13T00:00:00"/>
    <s v="Pas réglé"/>
    <m/>
    <m/>
    <m/>
    <m/>
    <m/>
    <m/>
    <s v="59444/2023/1"/>
    <s v="7344/2024/PO/DRE/CAC/ND"/>
    <n v="5512425"/>
    <n v="3307455"/>
    <n v="551242.5"/>
    <d v="2024-01-31T00:00:00"/>
    <s v="KO"/>
    <s v="Valide"/>
    <x v="1"/>
    <s v="KO"/>
    <s v="KO"/>
    <s v="A renouveller"/>
    <x v="29"/>
    <x v="29"/>
  </r>
  <r>
    <x v="30"/>
    <x v="0"/>
    <n v="47683229420"/>
    <s v="Société Générale Maroc"/>
    <x v="1"/>
    <s v="45281/2023/1"/>
    <x v="0"/>
    <s v="KO"/>
    <n v="0.7"/>
    <d v="2023-02-22T00:00:00"/>
    <d v="2024-08-22T00:00:00"/>
    <s v="Réglé"/>
    <d v="2023-04-12T00:00:00"/>
    <d v="2024-02-15T00:00:00"/>
    <s v="OCTROI"/>
    <s v="Front"/>
    <d v="2024-01-19T00:00:00"/>
    <m/>
    <s v="14255/2023/1"/>
    <s v="9283/2024/PO/DRE/CAC/ND"/>
    <n v="8523548"/>
    <n v="5114128.8"/>
    <n v="852354.8"/>
    <d v="2024-06-30T00:00:00"/>
    <s v="KO"/>
    <s v="Echue"/>
    <x v="1"/>
    <s v="OK"/>
    <s v="KO"/>
    <s v="A renouveller"/>
    <x v="30"/>
    <x v="30"/>
  </r>
  <r>
    <x v="31"/>
    <x v="0"/>
    <n v="70428125422"/>
    <s v="BMCE Bank"/>
    <x v="2"/>
    <s v="47933/2023/1"/>
    <x v="1"/>
    <s v="KO"/>
    <n v="0.6"/>
    <d v="2023-04-20T00:00:00"/>
    <d v="2024-10-20T00:00:00"/>
    <s v="Réglé"/>
    <d v="2023-11-26T00:00:00"/>
    <d v="2024-03-15T00:00:00"/>
    <s v="DOUNIALI"/>
    <s v="Tamwilcom"/>
    <d v="2024-02-25T00:00:00"/>
    <m/>
    <s v="87646/2023/1"/>
    <s v="3058/2024/PO/DRE/CAC/ND"/>
    <n v="4637990"/>
    <n v="2782794"/>
    <n v="463799"/>
    <d v="2024-06-21T00:00:00"/>
    <s v="KO"/>
    <s v="Valide"/>
    <x v="1"/>
    <s v="OK"/>
    <s v="KO"/>
    <s v="Valide"/>
    <x v="31"/>
    <x v="31"/>
  </r>
  <r>
    <x v="32"/>
    <x v="0"/>
    <n v="82577958979"/>
    <s v="Ciments du Maroc"/>
    <x v="7"/>
    <s v="73359/2023/1"/>
    <x v="0"/>
    <s v="OK"/>
    <n v="0.7"/>
    <d v="2023-09-07T00:00:00"/>
    <d v="2025-03-07T00:00:00"/>
    <s v="Pas réglé"/>
    <m/>
    <m/>
    <m/>
    <m/>
    <m/>
    <m/>
    <s v="16320/2023/1"/>
    <s v="8455/2024/PO/DRE/CAC/ND"/>
    <n v="9695693"/>
    <n v="5817415.7999999998"/>
    <n v="969569.3"/>
    <d v="2024-10-31T00:00:00"/>
    <s v="OK"/>
    <s v="Valide"/>
    <x v="1"/>
    <s v="OK"/>
    <s v="OK"/>
    <s v="A renouveller"/>
    <x v="32"/>
    <x v="32"/>
  </r>
  <r>
    <x v="33"/>
    <x v="0"/>
    <n v="17295789700"/>
    <s v="Société Générale Maroc"/>
    <x v="3"/>
    <s v="49736/2023/1"/>
    <x v="0"/>
    <s v="KO"/>
    <n v="0.6"/>
    <d v="2023-11-18T00:00:00"/>
    <d v="2025-05-18T00:00:00"/>
    <s v="Pas réglé"/>
    <m/>
    <m/>
    <m/>
    <m/>
    <m/>
    <m/>
    <s v="33283/2023/1"/>
    <s v="1973/2024/PO/DRE/CAC/ND"/>
    <n v="6526961"/>
    <n v="3916176.5999999996"/>
    <n v="652696.10000000009"/>
    <d v="2024-10-31T00:00:00"/>
    <s v="KO"/>
    <s v="Echue"/>
    <x v="1"/>
    <s v="KO"/>
    <s v="KO"/>
    <s v="A renouveller"/>
    <x v="33"/>
    <x v="33"/>
  </r>
  <r>
    <x v="34"/>
    <x v="0"/>
    <n v="25653858519"/>
    <s v="Banque Populaire"/>
    <x v="0"/>
    <s v="68698/2023/1"/>
    <x v="0"/>
    <s v="OK"/>
    <n v="0.5"/>
    <d v="2023-02-09T00:00:00"/>
    <d v="2024-08-09T00:00:00"/>
    <s v="Réglé"/>
    <d v="2023-03-05T00:00:00"/>
    <d v="2023-05-06T00:00:00"/>
    <s v="OCTROI"/>
    <s v="Tamwilcom"/>
    <d v="2024-05-19T00:00:00"/>
    <m/>
    <s v="70911/2023/1"/>
    <s v="3579/2024/PO/DRE/CAC/ND"/>
    <n v="2619427"/>
    <n v="1571656.2"/>
    <n v="261942.7"/>
    <d v="2024-06-05T00:00:00"/>
    <s v="OK"/>
    <s v="Echue"/>
    <x v="1"/>
    <s v="OK"/>
    <s v="OK"/>
    <s v="Valide"/>
    <x v="34"/>
    <x v="34"/>
  </r>
  <r>
    <x v="35"/>
    <x v="0"/>
    <n v="99922940371"/>
    <s v="Banque Populaire"/>
    <x v="0"/>
    <s v="58242/2023/1"/>
    <x v="0"/>
    <s v="OK"/>
    <n v="0.6"/>
    <d v="2023-07-14T00:00:00"/>
    <d v="2025-01-14T00:00:00"/>
    <s v="Réglé"/>
    <d v="2023-11-19T00:00:00"/>
    <d v="2023-08-20T00:00:00"/>
    <s v="DOUNIALI"/>
    <s v="Front"/>
    <d v="2024-08-27T00:00:00"/>
    <m/>
    <s v="74974/2023/1"/>
    <s v="2371/2024/PO/DRE/CAC/ND"/>
    <n v="5102501"/>
    <n v="3061500.6"/>
    <n v="510250.10000000003"/>
    <d v="2024-01-12T00:00:00"/>
    <s v="OK"/>
    <s v="Echue"/>
    <x v="1"/>
    <s v="OK"/>
    <s v="OK"/>
    <s v="Valide"/>
    <x v="35"/>
    <x v="35"/>
  </r>
  <r>
    <x v="36"/>
    <x v="0"/>
    <n v="95917104490"/>
    <s v="2M Atlas"/>
    <x v="3"/>
    <s v="88526/2023/1"/>
    <x v="0"/>
    <s v="KO"/>
    <n v="0.5"/>
    <d v="2023-08-13T00:00:00"/>
    <d v="2025-02-13T00:00:00"/>
    <s v="Réglé"/>
    <d v="2023-11-25T00:00:00"/>
    <d v="2024-06-02T00:00:00"/>
    <s v="OCTROI"/>
    <s v="Tamwilcom"/>
    <d v="2024-05-18T00:00:00"/>
    <m/>
    <s v="15944/2023/1"/>
    <s v="1588/2024/PO/DRE/CAC/ND"/>
    <n v="4366266"/>
    <n v="2619759.6"/>
    <n v="436626.60000000003"/>
    <d v="2024-07-17T00:00:00"/>
    <s v="KO"/>
    <s v="Valide"/>
    <x v="1"/>
    <s v="OK"/>
    <s v="KO"/>
    <s v="Valide"/>
    <x v="36"/>
    <x v="36"/>
  </r>
  <r>
    <x v="37"/>
    <x v="0"/>
    <n v="31672884824"/>
    <s v="Société Générale Maroc"/>
    <x v="8"/>
    <s v="38591/2023/1"/>
    <x v="1"/>
    <s v="KO"/>
    <n v="0.6"/>
    <d v="2023-12-27T00:00:00"/>
    <d v="2025-06-27T00:00:00"/>
    <s v="Réglé"/>
    <d v="2023-05-20T00:00:00"/>
    <d v="2024-01-10T00:00:00"/>
    <s v="DOUNIALI"/>
    <s v="Tamwilcom"/>
    <d v="2024-06-12T00:00:00"/>
    <m/>
    <s v="55498/2023/1"/>
    <s v="8681/2024/PO/DRE/CAC/ND"/>
    <n v="4906438"/>
    <n v="2943862.8"/>
    <n v="490643.80000000005"/>
    <d v="2024-05-09T00:00:00"/>
    <s v="KO"/>
    <s v="Echue"/>
    <x v="1"/>
    <s v="KO"/>
    <s v="KO"/>
    <s v="Valide"/>
    <x v="37"/>
    <x v="37"/>
  </r>
  <r>
    <x v="38"/>
    <x v="0"/>
    <n v="20682873885"/>
    <s v="BMCE Bank"/>
    <x v="5"/>
    <s v="55478/2023/1"/>
    <x v="1"/>
    <s v="OK"/>
    <n v="0.6"/>
    <d v="2023-03-02T00:00:00"/>
    <d v="2024-09-02T00:00:00"/>
    <s v="Pas réglé"/>
    <m/>
    <m/>
    <m/>
    <m/>
    <m/>
    <m/>
    <s v="37781/2023/1"/>
    <s v="1514/2024/PO/DRE/CAC/ND"/>
    <n v="8150931"/>
    <n v="4890558.5999999996"/>
    <n v="815093.10000000009"/>
    <d v="2024-05-04T00:00:00"/>
    <s v="OK"/>
    <s v="Valide"/>
    <x v="1"/>
    <s v="KO"/>
    <s v="OK"/>
    <s v="Valide"/>
    <x v="38"/>
    <x v="38"/>
  </r>
  <r>
    <x v="39"/>
    <x v="0"/>
    <n v="51348101339"/>
    <s v="Ciments du Maroc"/>
    <x v="7"/>
    <s v="25698/2023/1"/>
    <x v="1"/>
    <s v="KO"/>
    <n v="0.7"/>
    <d v="2023-05-16T00:00:00"/>
    <d v="2024-11-16T00:00:00"/>
    <s v="Pas réglé"/>
    <m/>
    <m/>
    <m/>
    <m/>
    <m/>
    <m/>
    <s v="79835/2023/1"/>
    <s v="6201/2024/PO/DRE/CAC/ND"/>
    <n v="8078270"/>
    <n v="4846962"/>
    <n v="807827"/>
    <d v="2024-09-12T00:00:00"/>
    <s v="KO"/>
    <s v="Valide"/>
    <x v="1"/>
    <s v="KO"/>
    <s v="KO"/>
    <s v="A renouveller"/>
    <x v="39"/>
    <x v="39"/>
  </r>
  <r>
    <x v="40"/>
    <x v="0"/>
    <n v="92157421917"/>
    <s v="Société Générale Maroc"/>
    <x v="2"/>
    <s v="62591/2023/1"/>
    <x v="1"/>
    <s v="KO"/>
    <n v="0.6"/>
    <d v="2023-08-13T00:00:00"/>
    <d v="2025-02-13T00:00:00"/>
    <s v="Réglé"/>
    <d v="2023-02-05T00:00:00"/>
    <d v="2023-11-02T00:00:00"/>
    <s v="OCTROI"/>
    <s v="Front"/>
    <d v="2024-11-03T00:00:00"/>
    <m/>
    <s v="15137/2023/1"/>
    <s v="5696/2024/PO/DRE/CAC/ND"/>
    <n v="6253195"/>
    <n v="3751917"/>
    <n v="625319.5"/>
    <d v="2024-03-21T00:00:00"/>
    <s v="KO"/>
    <s v="Echue"/>
    <x v="1"/>
    <s v="OK"/>
    <s v="KO"/>
    <s v="Valide"/>
    <x v="40"/>
    <x v="40"/>
  </r>
  <r>
    <x v="41"/>
    <x v="0"/>
    <n v="45140727688"/>
    <s v="Société Générale Maroc"/>
    <x v="5"/>
    <s v="19189/2023/1"/>
    <x v="1"/>
    <s v="OK"/>
    <n v="0.5"/>
    <d v="2023-02-05T00:00:00"/>
    <d v="2024-08-05T00:00:00"/>
    <s v="Réglé"/>
    <d v="2023-05-02T00:00:00"/>
    <d v="2023-10-29T00:00:00"/>
    <s v="DOUNIALI"/>
    <s v="Front"/>
    <d v="2024-05-23T00:00:00"/>
    <m/>
    <s v="69634/2023/1"/>
    <s v="1951/2024/PO/DRE/CAC/ND"/>
    <n v="4977712"/>
    <n v="2986627.1999999997"/>
    <n v="497771.2"/>
    <d v="2024-03-01T00:00:00"/>
    <s v="OK"/>
    <s v="Echue"/>
    <x v="1"/>
    <s v="OK"/>
    <s v="OK"/>
    <s v="A renouveller"/>
    <x v="41"/>
    <x v="41"/>
  </r>
  <r>
    <x v="42"/>
    <x v="0"/>
    <n v="93478033736"/>
    <s v="BMCE Bank"/>
    <x v="2"/>
    <s v="11970/2023/1"/>
    <x v="0"/>
    <s v="KO"/>
    <n v="0.6"/>
    <d v="2023-06-22T00:00:00"/>
    <d v="2024-12-22T00:00:00"/>
    <s v="Pas réglé"/>
    <m/>
    <m/>
    <m/>
    <m/>
    <m/>
    <m/>
    <s v="27073/2023/1"/>
    <s v="6212/2024/PO/DRE/CAC/ND"/>
    <n v="7119667"/>
    <n v="4271800.2"/>
    <n v="711966.70000000007"/>
    <d v="2024-05-24T00:00:00"/>
    <s v="KO"/>
    <s v="Valide"/>
    <x v="1"/>
    <s v="KO"/>
    <s v="KO"/>
    <s v="A renouveller"/>
    <x v="42"/>
    <x v="42"/>
  </r>
  <r>
    <x v="43"/>
    <x v="0"/>
    <n v="80039511737"/>
    <s v="Ciments du Maroc"/>
    <x v="2"/>
    <s v="41892/2023/1"/>
    <x v="0"/>
    <s v="KO"/>
    <n v="0.6"/>
    <d v="2023-10-26T00:00:00"/>
    <d v="2025-04-26T00:00:00"/>
    <s v="Réglé"/>
    <d v="2023-05-15T00:00:00"/>
    <d v="2024-09-15T00:00:00"/>
    <s v="DOUNIALI"/>
    <s v="Tamwilcom"/>
    <d v="2024-11-29T00:00:00"/>
    <m/>
    <s v="54711/2023/1"/>
    <s v="2857/2024/PO/DRE/CAC/ND"/>
    <n v="2575947"/>
    <n v="1545568.2"/>
    <n v="257594.7"/>
    <d v="2024-06-23T00:00:00"/>
    <s v="KO"/>
    <s v="Valide"/>
    <x v="1"/>
    <s v="OK"/>
    <s v="KO"/>
    <s v="Valide"/>
    <x v="43"/>
    <x v="43"/>
  </r>
  <r>
    <x v="44"/>
    <x v="0"/>
    <n v="75332474868"/>
    <s v="Société Générale Maroc"/>
    <x v="4"/>
    <s v="55313/2023/1"/>
    <x v="1"/>
    <s v="KO"/>
    <n v="0.5"/>
    <d v="2023-02-01T00:00:00"/>
    <d v="2024-08-01T00:00:00"/>
    <s v="Pas réglé"/>
    <m/>
    <m/>
    <m/>
    <m/>
    <m/>
    <m/>
    <s v="82351/2023/1"/>
    <s v="3945/2024/PO/DRE/CAC/ND"/>
    <n v="8182811"/>
    <n v="4909686.5999999996"/>
    <n v="818281.10000000009"/>
    <d v="2024-04-17T00:00:00"/>
    <s v="KO"/>
    <s v="Valide"/>
    <x v="1"/>
    <s v="OK"/>
    <s v="KO"/>
    <s v="Valide"/>
    <x v="44"/>
    <x v="44"/>
  </r>
  <r>
    <x v="45"/>
    <x v="0"/>
    <n v="96212330780"/>
    <s v="Managem"/>
    <x v="2"/>
    <s v="18670/2023/1"/>
    <x v="0"/>
    <s v="OK"/>
    <n v="0.6"/>
    <d v="2023-06-10T00:00:00"/>
    <d v="2024-12-10T00:00:00"/>
    <s v="Réglé"/>
    <d v="2023-03-18T00:00:00"/>
    <d v="2023-11-22T00:00:00"/>
    <s v="OCTROI"/>
    <s v="Front"/>
    <d v="2024-05-02T00:00:00"/>
    <m/>
    <s v="19157/2023/1"/>
    <s v="1673/2024/PO/DRE/CAC/ND"/>
    <n v="3362193"/>
    <n v="2017315.7999999998"/>
    <n v="336219.30000000005"/>
    <d v="2024-11-09T00:00:00"/>
    <s v="OK"/>
    <s v="Echue"/>
    <x v="1"/>
    <s v="KO"/>
    <s v="OK"/>
    <s v="A renouveller"/>
    <x v="45"/>
    <x v="45"/>
  </r>
  <r>
    <x v="46"/>
    <x v="0"/>
    <n v="68212426013"/>
    <s v="Société Générale Maroc"/>
    <x v="5"/>
    <s v="78326/2023/1"/>
    <x v="0"/>
    <s v="KO"/>
    <n v="0.6"/>
    <d v="2023-01-28T00:00:00"/>
    <d v="2024-07-28T00:00:00"/>
    <s v="Pas réglé"/>
    <m/>
    <m/>
    <m/>
    <m/>
    <m/>
    <m/>
    <s v="15534/2023/1"/>
    <s v="6753/2024/PO/DRE/CAC/ND"/>
    <n v="8852328"/>
    <n v="5311396.8"/>
    <n v="885232.8"/>
    <d v="2024-03-11T00:00:00"/>
    <s v="KO"/>
    <s v="Valide"/>
    <x v="1"/>
    <s v="OK"/>
    <s v="KO"/>
    <s v="Valide"/>
    <x v="46"/>
    <x v="46"/>
  </r>
  <r>
    <x v="47"/>
    <x v="0"/>
    <n v="24940005998"/>
    <s v="2M Atlas"/>
    <x v="1"/>
    <s v="81497/2023/1"/>
    <x v="1"/>
    <s v="OK"/>
    <n v="0.6"/>
    <d v="2023-08-31T00:00:00"/>
    <d v="2025-02-28T00:00:00"/>
    <s v="Réglé"/>
    <d v="2023-11-05T00:00:00"/>
    <d v="2023-09-18T00:00:00"/>
    <s v="OCTROI"/>
    <s v="Front"/>
    <d v="2024-02-10T00:00:00"/>
    <m/>
    <s v="33659/2023/1"/>
    <s v="1661/2024/PO/DRE/CAC/ND"/>
    <n v="2481595"/>
    <n v="1488957"/>
    <n v="248159.5"/>
    <d v="2024-07-08T00:00:00"/>
    <s v="OK"/>
    <s v="Valide"/>
    <x v="1"/>
    <s v="OK"/>
    <s v="OK"/>
    <s v="Valide"/>
    <x v="47"/>
    <x v="47"/>
  </r>
  <r>
    <x v="48"/>
    <x v="0"/>
    <n v="44408277034"/>
    <s v="Ciments du Maroc"/>
    <x v="3"/>
    <s v="32965/2023/1"/>
    <x v="0"/>
    <s v="KO"/>
    <n v="0.6"/>
    <d v="2023-07-01T00:00:00"/>
    <d v="2025-01-01T00:00:00"/>
    <s v="Réglé"/>
    <d v="2023-03-13T00:00:00"/>
    <d v="2024-04-13T00:00:00"/>
    <s v="OCTROI"/>
    <s v="Front"/>
    <d v="2024-10-14T00:00:00"/>
    <m/>
    <s v="15549/2023/1"/>
    <s v="6082/2024/PO/DRE/CAC/ND"/>
    <n v="9393744"/>
    <n v="5636246.3999999994"/>
    <n v="939374.4"/>
    <d v="2024-01-07T00:00:00"/>
    <s v="KO"/>
    <s v="Echue"/>
    <x v="1"/>
    <s v="OK"/>
    <s v="KO"/>
    <s v="A renouveller"/>
    <x v="48"/>
    <x v="48"/>
  </r>
  <r>
    <x v="49"/>
    <x v="0"/>
    <n v="22497665571"/>
    <s v="Maghreb Steel"/>
    <x v="6"/>
    <s v="24651/2023/1"/>
    <x v="0"/>
    <s v="KO"/>
    <n v="0.6"/>
    <d v="2023-02-20T00:00:00"/>
    <d v="2024-08-20T00:00:00"/>
    <s v="Pas réglé"/>
    <m/>
    <m/>
    <m/>
    <m/>
    <m/>
    <m/>
    <s v="93146/2023/1"/>
    <s v="3591/2024/PO/DRE/CAC/ND"/>
    <n v="8354748"/>
    <n v="5012848.8"/>
    <n v="835474.8"/>
    <d v="2024-01-08T00:00:00"/>
    <s v="KO"/>
    <s v="Valide"/>
    <x v="1"/>
    <s v="KO"/>
    <s v="KO"/>
    <s v="Valide"/>
    <x v="49"/>
    <x v="49"/>
  </r>
  <r>
    <x v="50"/>
    <x v="0"/>
    <n v="68274538765"/>
    <s v="OCP Group"/>
    <x v="0"/>
    <s v="57557/2023/1"/>
    <x v="0"/>
    <s v="OK"/>
    <n v="0.6"/>
    <d v="2023-09-11T00:00:00"/>
    <d v="2025-03-11T00:00:00"/>
    <s v="Pas réglé"/>
    <m/>
    <m/>
    <m/>
    <m/>
    <m/>
    <m/>
    <s v="27621/2023/1"/>
    <s v="8660/2024/PO/DRE/CAC/ND"/>
    <n v="7383769"/>
    <n v="4430261.3999999994"/>
    <n v="738376.9"/>
    <d v="2024-11-20T00:00:00"/>
    <s v="OK"/>
    <s v="Echue"/>
    <x v="1"/>
    <s v="OK"/>
    <s v="OK"/>
    <s v="A renouveller"/>
    <x v="50"/>
    <x v="50"/>
  </r>
  <r>
    <x v="51"/>
    <x v="0"/>
    <n v="42423082906"/>
    <s v="Managem"/>
    <x v="6"/>
    <s v="65318/2023/1"/>
    <x v="0"/>
    <s v="KO"/>
    <n v="0.6"/>
    <d v="2023-09-29T00:00:00"/>
    <d v="2025-03-29T00:00:00"/>
    <s v="Pas réglé"/>
    <m/>
    <m/>
    <m/>
    <m/>
    <m/>
    <m/>
    <s v="30249/2023/1"/>
    <s v="3442/2024/PO/DRE/CAC/ND"/>
    <n v="5984682"/>
    <n v="3590809.1999999997"/>
    <n v="598468.20000000007"/>
    <d v="2024-02-06T00:00:00"/>
    <s v="KO"/>
    <s v="Valide"/>
    <x v="1"/>
    <s v="KO"/>
    <s v="KO"/>
    <s v="Valide"/>
    <x v="51"/>
    <x v="51"/>
  </r>
  <r>
    <x v="52"/>
    <x v="0"/>
    <n v="36341477409"/>
    <s v="Managem"/>
    <x v="0"/>
    <s v="53669/2023/1"/>
    <x v="0"/>
    <s v="OK"/>
    <n v="0.6"/>
    <d v="2023-03-06T00:00:00"/>
    <d v="2024-09-06T00:00:00"/>
    <s v="Pas réglé"/>
    <m/>
    <m/>
    <m/>
    <m/>
    <m/>
    <m/>
    <s v="15927/2023/1"/>
    <s v="2504/2024/PO/DRE/CAC/ND"/>
    <n v="1134030"/>
    <n v="680418"/>
    <n v="113403"/>
    <d v="2024-11-26T00:00:00"/>
    <s v="OK"/>
    <s v="Echue"/>
    <x v="1"/>
    <s v="KO"/>
    <s v="OK"/>
    <s v="Valide"/>
    <x v="52"/>
    <x v="52"/>
  </r>
  <r>
    <x v="53"/>
    <x v="0"/>
    <n v="57112279103"/>
    <s v="Ciments du Maroc"/>
    <x v="7"/>
    <s v="89469/2023/1"/>
    <x v="0"/>
    <s v="OK"/>
    <n v="0.6"/>
    <d v="2023-02-15T00:00:00"/>
    <d v="2024-08-15T00:00:00"/>
    <s v="Pas réglé"/>
    <m/>
    <m/>
    <m/>
    <m/>
    <m/>
    <m/>
    <s v="41333/2023/1"/>
    <s v="9944/2024/PO/DRE/CAC/ND"/>
    <n v="3112016"/>
    <n v="1867209.5999999999"/>
    <n v="311201.60000000003"/>
    <d v="2024-03-06T00:00:00"/>
    <s v="OK"/>
    <s v="Valide"/>
    <x v="1"/>
    <s v="OK"/>
    <s v="OK"/>
    <s v="A renouveller"/>
    <x v="53"/>
    <x v="53"/>
  </r>
  <r>
    <x v="54"/>
    <x v="0"/>
    <n v="71154393434"/>
    <s v="Managem"/>
    <x v="9"/>
    <s v="85214/2023/1"/>
    <x v="0"/>
    <s v="KO"/>
    <n v="0.5"/>
    <d v="2023-05-06T00:00:00"/>
    <d v="2024-11-06T00:00:00"/>
    <s v="Pas réglé"/>
    <m/>
    <m/>
    <m/>
    <m/>
    <m/>
    <m/>
    <s v="34507/2023/1"/>
    <s v="5068/2024/PO/DRE/CAC/ND"/>
    <n v="9666862"/>
    <n v="5800117.2000000002"/>
    <n v="966686.20000000007"/>
    <d v="2024-03-10T00:00:00"/>
    <s v="KO"/>
    <s v="Echue"/>
    <x v="1"/>
    <s v="KO"/>
    <s v="KO"/>
    <s v="Valide"/>
    <x v="54"/>
    <x v="54"/>
  </r>
  <r>
    <x v="55"/>
    <x v="0"/>
    <n v="54205763347"/>
    <s v="2M Atlas"/>
    <x v="4"/>
    <s v="95185/2023/1"/>
    <x v="0"/>
    <s v="OK"/>
    <n v="0.6"/>
    <d v="2023-02-24T00:00:00"/>
    <d v="2024-08-24T00:00:00"/>
    <s v="Pas réglé"/>
    <m/>
    <m/>
    <m/>
    <m/>
    <m/>
    <m/>
    <s v="34843/2023/1"/>
    <s v="4524/2024/PO/DRE/CAC/ND"/>
    <n v="1132002"/>
    <n v="679201.2"/>
    <n v="113200.20000000001"/>
    <d v="2024-11-27T00:00:00"/>
    <s v="OK"/>
    <s v="Echue"/>
    <x v="1"/>
    <s v="KO"/>
    <s v="OK"/>
    <s v="Valide"/>
    <x v="55"/>
    <x v="55"/>
  </r>
  <r>
    <x v="56"/>
    <x v="0"/>
    <n v="18953132209"/>
    <s v="Maroc Telecom"/>
    <x v="0"/>
    <s v="27284/2023/1"/>
    <x v="0"/>
    <s v="OK"/>
    <n v="0.6"/>
    <d v="2023-04-26T00:00:00"/>
    <d v="2024-10-26T00:00:00"/>
    <s v="Réglé"/>
    <d v="2023-11-30T00:00:00"/>
    <d v="2023-05-21T00:00:00"/>
    <s v="OCTROI"/>
    <s v="Tamwilcom"/>
    <d v="2024-12-15T00:00:00"/>
    <m/>
    <s v="73645/2023/1"/>
    <s v="9168/2024/PO/DRE/CAC/ND"/>
    <n v="3995048"/>
    <n v="2397028.7999999998"/>
    <n v="399504.80000000005"/>
    <d v="2024-08-22T00:00:00"/>
    <s v="OK"/>
    <s v="Valide"/>
    <x v="1"/>
    <s v="KO"/>
    <s v="OK"/>
    <s v="A renouveller"/>
    <x v="56"/>
    <x v="56"/>
  </r>
  <r>
    <x v="57"/>
    <x v="0"/>
    <n v="50704390321"/>
    <s v="Maroc Telecom"/>
    <x v="0"/>
    <s v="94054/2023/1"/>
    <x v="0"/>
    <s v="OK"/>
    <n v="0.6"/>
    <d v="2023-06-28T00:00:00"/>
    <d v="2024-12-28T00:00:00"/>
    <s v="Pas réglé"/>
    <m/>
    <m/>
    <m/>
    <m/>
    <m/>
    <m/>
    <s v="14517/2023/1"/>
    <s v="2706/2024/PO/DRE/CAC/ND"/>
    <n v="9930822"/>
    <n v="5958493.2000000002"/>
    <n v="993082.20000000007"/>
    <d v="2024-04-01T00:00:00"/>
    <s v="OK"/>
    <s v="Echue"/>
    <x v="1"/>
    <s v="OK"/>
    <s v="OK"/>
    <s v="Valide"/>
    <x v="57"/>
    <x v="57"/>
  </r>
  <r>
    <x v="58"/>
    <x v="0"/>
    <n v="80508414583"/>
    <s v="Maghreb Steel"/>
    <x v="7"/>
    <s v="60914/2023/1"/>
    <x v="0"/>
    <s v="OK"/>
    <n v="0.6"/>
    <d v="2023-12-03T00:00:00"/>
    <d v="2025-06-03T00:00:00"/>
    <s v="Pas réglé"/>
    <m/>
    <m/>
    <m/>
    <m/>
    <m/>
    <m/>
    <s v="59016/2023/1"/>
    <s v="3504/2024/PO/DRE/CAC/ND"/>
    <n v="2674383"/>
    <n v="1604629.8"/>
    <n v="267438.3"/>
    <d v="2024-06-17T00:00:00"/>
    <s v="OK"/>
    <s v="Valide"/>
    <x v="1"/>
    <s v="OK"/>
    <s v="OK"/>
    <s v="A renouveller"/>
    <x v="58"/>
    <x v="58"/>
  </r>
  <r>
    <x v="59"/>
    <x v="0"/>
    <n v="19105258350"/>
    <s v="Maghreb Steel"/>
    <x v="6"/>
    <s v="24366/2023/1"/>
    <x v="1"/>
    <s v="OK"/>
    <n v="0.7"/>
    <d v="2023-02-06T00:00:00"/>
    <d v="2024-08-06T00:00:00"/>
    <s v="Pas réglé"/>
    <m/>
    <m/>
    <m/>
    <m/>
    <m/>
    <m/>
    <s v="95699/2023/1"/>
    <s v="2170/2024/PO/DRE/CAC/ND"/>
    <n v="4184872"/>
    <n v="2510923.1999999997"/>
    <n v="418487.2"/>
    <d v="2024-02-11T00:00:00"/>
    <s v="OK"/>
    <s v="Echue"/>
    <x v="1"/>
    <s v="KO"/>
    <s v="OK"/>
    <s v="A renouveller"/>
    <x v="59"/>
    <x v="59"/>
  </r>
  <r>
    <x v="60"/>
    <x v="0"/>
    <n v="37947370356"/>
    <s v="Banque Populaire"/>
    <x v="9"/>
    <s v="76277/2023/1"/>
    <x v="1"/>
    <s v="KO"/>
    <n v="0.6"/>
    <d v="2023-12-02T00:00:00"/>
    <d v="2025-06-02T00:00:00"/>
    <s v="Réglé"/>
    <d v="2023-06-29T00:00:00"/>
    <d v="2024-02-28T00:00:00"/>
    <s v="OCTROI"/>
    <s v="Front"/>
    <d v="2024-11-20T00:00:00"/>
    <m/>
    <s v="19563/2023/1"/>
    <s v="1525/2024/PO/DRE/CAC/ND"/>
    <n v="4472602"/>
    <n v="2683561.1999999997"/>
    <n v="447260.2"/>
    <d v="2024-04-22T00:00:00"/>
    <s v="KO"/>
    <s v="Echue"/>
    <x v="1"/>
    <s v="KO"/>
    <s v="KO"/>
    <s v="A renouveller"/>
    <x v="60"/>
    <x v="60"/>
  </r>
  <r>
    <x v="61"/>
    <x v="0"/>
    <n v="52819127385"/>
    <s v="Maroc Telecom"/>
    <x v="4"/>
    <s v="24392/2023/1"/>
    <x v="1"/>
    <s v="KO"/>
    <n v="0.6"/>
    <d v="2023-03-16T00:00:00"/>
    <d v="2024-09-16T00:00:00"/>
    <s v="Réglé"/>
    <d v="2023-11-22T00:00:00"/>
    <d v="2023-03-23T00:00:00"/>
    <s v="OCTROI"/>
    <s v="Front"/>
    <d v="2024-07-08T00:00:00"/>
    <m/>
    <s v="62252/2023/1"/>
    <s v="6696/2024/PO/DRE/CAC/ND"/>
    <n v="4363170"/>
    <n v="2617902"/>
    <n v="436317"/>
    <d v="2024-04-28T00:00:00"/>
    <s v="KO"/>
    <s v="Echue"/>
    <x v="1"/>
    <s v="OK"/>
    <s v="KO"/>
    <s v="Valide"/>
    <x v="61"/>
    <x v="61"/>
  </r>
  <r>
    <x v="62"/>
    <x v="0"/>
    <n v="63767873168"/>
    <s v="Maroc Telecom"/>
    <x v="2"/>
    <s v="53486/2023/1"/>
    <x v="1"/>
    <s v="OK"/>
    <n v="0.6"/>
    <d v="2023-07-24T00:00:00"/>
    <d v="2025-01-24T00:00:00"/>
    <s v="Pas réglé"/>
    <m/>
    <m/>
    <m/>
    <m/>
    <m/>
    <m/>
    <s v="72364/2023/1"/>
    <s v="5698/2024/PO/DRE/CAC/ND"/>
    <n v="6365123"/>
    <n v="3819073.8"/>
    <n v="636512.30000000005"/>
    <d v="2024-04-27T00:00:00"/>
    <s v="OK"/>
    <s v="Echue"/>
    <x v="1"/>
    <s v="OK"/>
    <s v="OK"/>
    <s v="Valide"/>
    <x v="62"/>
    <x v="62"/>
  </r>
  <r>
    <x v="63"/>
    <x v="0"/>
    <n v="12804156866"/>
    <s v="OCP Group"/>
    <x v="3"/>
    <s v="54343/2023/1"/>
    <x v="0"/>
    <s v="KO"/>
    <n v="0.7"/>
    <d v="2023-11-24T00:00:00"/>
    <d v="2025-05-24T00:00:00"/>
    <s v="Pas réglé"/>
    <m/>
    <m/>
    <m/>
    <m/>
    <m/>
    <m/>
    <s v="34634/2023/1"/>
    <s v="9079/2024/PO/DRE/CAC/ND"/>
    <n v="1576572"/>
    <n v="945943.2"/>
    <n v="157657.20000000001"/>
    <d v="2024-04-19T00:00:00"/>
    <s v="KO"/>
    <s v="Echue"/>
    <x v="1"/>
    <s v="KO"/>
    <s v="KO"/>
    <s v="Valide"/>
    <x v="63"/>
    <x v="63"/>
  </r>
  <r>
    <x v="64"/>
    <x v="0"/>
    <n v="37237789758"/>
    <s v="OCP Group"/>
    <x v="6"/>
    <s v="33349/2023/1"/>
    <x v="0"/>
    <s v="KO"/>
    <n v="0.6"/>
    <d v="2023-03-11T00:00:00"/>
    <d v="2024-09-11T00:00:00"/>
    <s v="Réglé"/>
    <d v="2023-01-24T00:00:00"/>
    <d v="2023-04-27T00:00:00"/>
    <s v="OCTROI"/>
    <s v="Front"/>
    <d v="2024-01-09T00:00:00"/>
    <m/>
    <s v="81541/2023/1"/>
    <s v="5262/2024/PO/DRE/CAC/ND"/>
    <n v="5569894"/>
    <n v="3341936.4"/>
    <n v="556989.4"/>
    <d v="2024-02-06T00:00:00"/>
    <s v="KO"/>
    <s v="Echue"/>
    <x v="1"/>
    <s v="OK"/>
    <s v="KO"/>
    <s v="Valide"/>
    <x v="64"/>
    <x v="64"/>
  </r>
  <r>
    <x v="65"/>
    <x v="0"/>
    <n v="61178295347"/>
    <s v="Ciments du Maroc"/>
    <x v="5"/>
    <s v="29942/2023/1"/>
    <x v="1"/>
    <s v="OK"/>
    <n v="0.6"/>
    <d v="2023-03-31T00:00:00"/>
    <d v="2024-09-30T00:00:00"/>
    <s v="Réglé"/>
    <d v="2023-01-12T00:00:00"/>
    <d v="2023-10-09T00:00:00"/>
    <s v="DOUNIALI"/>
    <s v="Front"/>
    <d v="2024-04-12T00:00:00"/>
    <m/>
    <s v="31969/2023/1"/>
    <s v="4074/2024/PO/DRE/CAC/ND"/>
    <n v="6467771"/>
    <n v="3880662.5999999996"/>
    <n v="646777.10000000009"/>
    <d v="2024-08-25T00:00:00"/>
    <s v="OK"/>
    <s v="Echue"/>
    <x v="1"/>
    <s v="KO"/>
    <s v="OK"/>
    <s v="Valide"/>
    <x v="65"/>
    <x v="65"/>
  </r>
  <r>
    <x v="66"/>
    <x v="0"/>
    <n v="53171400767"/>
    <s v="Ciments du Maroc"/>
    <x v="2"/>
    <s v="86891/2023/1"/>
    <x v="1"/>
    <s v="KO"/>
    <n v="0.6"/>
    <d v="2023-11-27T00:00:00"/>
    <d v="2025-05-27T00:00:00"/>
    <s v="Pas réglé"/>
    <m/>
    <m/>
    <m/>
    <m/>
    <m/>
    <m/>
    <s v="73870/2023/1"/>
    <s v="3773/2024/PO/DRE/CAC/ND"/>
    <n v="1219878"/>
    <n v="731926.79999999993"/>
    <n v="121987.8"/>
    <d v="2024-10-05T00:00:00"/>
    <s v="KO"/>
    <s v="Echue"/>
    <x v="1"/>
    <s v="OK"/>
    <s v="KO"/>
    <s v="Valide"/>
    <x v="66"/>
    <x v="66"/>
  </r>
  <r>
    <x v="67"/>
    <x v="0"/>
    <n v="94815340114"/>
    <s v="2M Atlas"/>
    <x v="1"/>
    <s v="77429/2023/1"/>
    <x v="1"/>
    <s v="KO"/>
    <n v="0.6"/>
    <d v="2023-05-11T00:00:00"/>
    <d v="2024-11-11T00:00:00"/>
    <s v="Réglé"/>
    <d v="2023-04-21T00:00:00"/>
    <d v="2023-11-18T00:00:00"/>
    <s v="OCTROI"/>
    <s v="Front"/>
    <d v="2024-02-26T00:00:00"/>
    <m/>
    <s v="46782/2023/1"/>
    <s v="9952/2024/PO/DRE/CAC/ND"/>
    <n v="9295812"/>
    <n v="5577487.2000000002"/>
    <n v="929581.20000000007"/>
    <d v="2024-04-30T00:00:00"/>
    <s v="KO"/>
    <s v="Valide"/>
    <x v="1"/>
    <s v="KO"/>
    <s v="KO"/>
    <s v="A renouveller"/>
    <x v="67"/>
    <x v="67"/>
  </r>
  <r>
    <x v="68"/>
    <x v="0"/>
    <n v="23936060360"/>
    <s v="2M Atlas"/>
    <x v="6"/>
    <s v="53757/2023/1"/>
    <x v="1"/>
    <s v="KO"/>
    <n v="0.6"/>
    <d v="2023-02-06T00:00:00"/>
    <d v="2024-08-06T00:00:00"/>
    <s v="Réglé"/>
    <d v="2023-12-15T00:00:00"/>
    <d v="2023-05-20T00:00:00"/>
    <s v="DOUNIALI"/>
    <s v="Front"/>
    <d v="2024-01-04T00:00:00"/>
    <m/>
    <s v="10870/2023/1"/>
    <s v="7211/2024/PO/DRE/CAC/ND"/>
    <n v="3140120"/>
    <n v="1884072"/>
    <n v="314012"/>
    <d v="2024-09-01T00:00:00"/>
    <s v="KO"/>
    <s v="Echue"/>
    <x v="1"/>
    <s v="OK"/>
    <s v="KO"/>
    <s v="Valide"/>
    <x v="68"/>
    <x v="68"/>
  </r>
  <r>
    <x v="69"/>
    <x v="0"/>
    <n v="59042048931"/>
    <s v="Maghreb Steel"/>
    <x v="9"/>
    <s v="89232/2023/1"/>
    <x v="1"/>
    <s v="OK"/>
    <n v="0.6"/>
    <d v="2023-11-23T00:00:00"/>
    <d v="2025-05-23T00:00:00"/>
    <s v="Réglé"/>
    <d v="2023-01-05T00:00:00"/>
    <d v="2023-12-01T00:00:00"/>
    <s v="DOUNIALI"/>
    <s v="Tamwilcom"/>
    <d v="2024-04-23T00:00:00"/>
    <m/>
    <s v="96485/2023/1"/>
    <s v="1676/2024/PO/DRE/CAC/ND"/>
    <n v="2405986"/>
    <n v="1443591.5999999999"/>
    <n v="240598.6"/>
    <d v="2024-07-21T00:00:00"/>
    <s v="OK"/>
    <s v="Echue"/>
    <x v="1"/>
    <s v="KO"/>
    <s v="OK"/>
    <s v="Valide"/>
    <x v="69"/>
    <x v="69"/>
  </r>
  <r>
    <x v="70"/>
    <x v="0"/>
    <n v="36277119615"/>
    <s v="2M Atlas"/>
    <x v="3"/>
    <s v="75707/2023/1"/>
    <x v="0"/>
    <s v="KO"/>
    <n v="0.6"/>
    <d v="2023-07-27T00:00:00"/>
    <d v="2025-01-27T00:00:00"/>
    <s v="Pas réglé"/>
    <m/>
    <m/>
    <m/>
    <m/>
    <m/>
    <m/>
    <s v="12158/2023/1"/>
    <s v="5179/2024/PO/DRE/CAC/ND"/>
    <n v="3831256"/>
    <n v="2298753.6"/>
    <n v="383125.60000000003"/>
    <d v="2024-05-08T00:00:00"/>
    <s v="KO"/>
    <s v="Valide"/>
    <x v="1"/>
    <s v="KO"/>
    <s v="KO"/>
    <s v="A renouveller"/>
    <x v="70"/>
    <x v="70"/>
  </r>
  <r>
    <x v="71"/>
    <x v="0"/>
    <n v="70977704120"/>
    <s v="2M Atlas"/>
    <x v="1"/>
    <s v="75618/2023/1"/>
    <x v="0"/>
    <s v="OK"/>
    <n v="0.6"/>
    <d v="2023-05-30T00:00:00"/>
    <d v="2024-11-30T00:00:00"/>
    <s v="Pas réglé"/>
    <m/>
    <m/>
    <m/>
    <m/>
    <m/>
    <m/>
    <s v="14291/2023/1"/>
    <s v="8639/2024/PO/DRE/CAC/ND"/>
    <n v="5724845"/>
    <n v="3434907"/>
    <n v="572484.5"/>
    <d v="2024-05-16T00:00:00"/>
    <s v="OK"/>
    <s v="Valide"/>
    <x v="1"/>
    <s v="KO"/>
    <s v="OK"/>
    <s v="A renouveller"/>
    <x v="71"/>
    <x v="71"/>
  </r>
  <r>
    <x v="72"/>
    <x v="0"/>
    <n v="41403139827"/>
    <s v="2M Atlas"/>
    <x v="7"/>
    <s v="17959/2023/1"/>
    <x v="0"/>
    <s v="KO"/>
    <n v="0.6"/>
    <d v="2023-06-08T00:00:00"/>
    <d v="2024-12-08T00:00:00"/>
    <s v="Réglé"/>
    <d v="2023-08-05T00:00:00"/>
    <d v="2024-01-09T00:00:00"/>
    <s v="OCTROI"/>
    <s v="Front"/>
    <d v="2024-08-14T00:00:00"/>
    <m/>
    <s v="67480/2023/1"/>
    <s v="7062/2024/PO/DRE/CAC/ND"/>
    <n v="8664372"/>
    <n v="5198623.2"/>
    <n v="866437.20000000007"/>
    <d v="2024-09-04T00:00:00"/>
    <s v="KO"/>
    <s v="Valide"/>
    <x v="1"/>
    <s v="KO"/>
    <s v="KO"/>
    <s v="A renouveller"/>
    <x v="72"/>
    <x v="72"/>
  </r>
  <r>
    <x v="73"/>
    <x v="0"/>
    <n v="41094747903"/>
    <s v="Société Générale Maroc"/>
    <x v="6"/>
    <s v="71249/2023/1"/>
    <x v="1"/>
    <s v="OK"/>
    <n v="0.6"/>
    <d v="2023-01-07T00:00:00"/>
    <d v="2024-07-07T00:00:00"/>
    <s v="Réglé"/>
    <d v="2023-07-11T00:00:00"/>
    <d v="2023-04-09T00:00:00"/>
    <s v="DOUNIALI"/>
    <s v="Front"/>
    <d v="2024-11-22T00:00:00"/>
    <m/>
    <s v="71362/2023/1"/>
    <s v="8967/2024/PO/DRE/CAC/ND"/>
    <n v="3147106"/>
    <n v="1888263.5999999999"/>
    <n v="314710.60000000003"/>
    <d v="2024-08-28T00:00:00"/>
    <s v="OK"/>
    <s v="Echue"/>
    <x v="1"/>
    <s v="OK"/>
    <s v="OK"/>
    <s v="Valide"/>
    <x v="73"/>
    <x v="73"/>
  </r>
  <r>
    <x v="74"/>
    <x v="0"/>
    <n v="90561411640"/>
    <s v="2M Atlas"/>
    <x v="6"/>
    <s v="95529/2023/1"/>
    <x v="1"/>
    <s v="OK"/>
    <n v="0.6"/>
    <d v="2023-12-04T00:00:00"/>
    <d v="2025-06-04T00:00:00"/>
    <s v="Pas réglé"/>
    <m/>
    <m/>
    <m/>
    <m/>
    <m/>
    <m/>
    <s v="75289/2023/1"/>
    <s v="5744/2024/PO/DRE/CAC/ND"/>
    <n v="7094791"/>
    <n v="4256874.5999999996"/>
    <n v="709479.10000000009"/>
    <d v="2024-04-07T00:00:00"/>
    <s v="OK"/>
    <s v="Valide"/>
    <x v="1"/>
    <s v="OK"/>
    <s v="OK"/>
    <s v="A renouveller"/>
    <x v="74"/>
    <x v="74"/>
  </r>
  <r>
    <x v="75"/>
    <x v="0"/>
    <n v="45578714641"/>
    <s v="Cosumar"/>
    <x v="7"/>
    <s v="57877/2023/1"/>
    <x v="1"/>
    <s v="OK"/>
    <n v="0.7"/>
    <d v="2023-06-22T00:00:00"/>
    <d v="2024-12-22T00:00:00"/>
    <s v="Pas réglé"/>
    <m/>
    <m/>
    <m/>
    <m/>
    <m/>
    <m/>
    <s v="94915/2023/1"/>
    <s v="9197/2024/PO/DRE/CAC/ND"/>
    <n v="3344274"/>
    <n v="2006564.4"/>
    <n v="334427.40000000002"/>
    <d v="2024-08-21T00:00:00"/>
    <s v="OK"/>
    <s v="Echue"/>
    <x v="1"/>
    <s v="KO"/>
    <s v="OK"/>
    <s v="A renouveller"/>
    <x v="75"/>
    <x v="75"/>
  </r>
  <r>
    <x v="76"/>
    <x v="0"/>
    <n v="75617376978"/>
    <s v="BMCE Bank"/>
    <x v="6"/>
    <s v="24264/2023/1"/>
    <x v="1"/>
    <s v="KO"/>
    <n v="0.7"/>
    <d v="2023-02-22T00:00:00"/>
    <d v="2024-08-22T00:00:00"/>
    <s v="Pas réglé"/>
    <m/>
    <m/>
    <m/>
    <m/>
    <m/>
    <m/>
    <s v="78983/2023/1"/>
    <s v="1712/2024/PO/DRE/CAC/ND"/>
    <n v="3255324"/>
    <n v="1953194.4"/>
    <n v="325532.40000000002"/>
    <d v="2024-12-29T00:00:00"/>
    <s v="KO"/>
    <s v="Valide"/>
    <x v="1"/>
    <s v="KO"/>
    <s v="KO"/>
    <s v="A renouveller"/>
    <x v="76"/>
    <x v="76"/>
  </r>
  <r>
    <x v="77"/>
    <x v="0"/>
    <n v="71758415177"/>
    <s v="Banque Populaire"/>
    <x v="4"/>
    <s v="99048/2023/1"/>
    <x v="0"/>
    <s v="OK"/>
    <n v="0.6"/>
    <d v="2023-03-18T00:00:00"/>
    <d v="2024-09-18T00:00:00"/>
    <s v="Pas réglé"/>
    <m/>
    <m/>
    <m/>
    <m/>
    <m/>
    <m/>
    <s v="52614/2023/1"/>
    <s v="5648/2024/PO/DRE/CAC/ND"/>
    <n v="2968618"/>
    <n v="1781170.8"/>
    <n v="296861.8"/>
    <d v="2024-06-05T00:00:00"/>
    <s v="OK"/>
    <s v="Echue"/>
    <x v="1"/>
    <s v="KO"/>
    <s v="OK"/>
    <s v="Valide"/>
    <x v="77"/>
    <x v="77"/>
  </r>
  <r>
    <x v="78"/>
    <x v="0"/>
    <n v="89442513987"/>
    <s v="2M Atlas"/>
    <x v="4"/>
    <s v="11861/2023/1"/>
    <x v="1"/>
    <s v="KO"/>
    <n v="0.6"/>
    <d v="2023-03-20T00:00:00"/>
    <d v="2024-09-20T00:00:00"/>
    <s v="Pas réglé"/>
    <m/>
    <m/>
    <m/>
    <m/>
    <m/>
    <m/>
    <s v="35505/2023/1"/>
    <s v="1169/2024/PO/DRE/CAC/ND"/>
    <n v="5256007"/>
    <n v="3153604.1999999997"/>
    <n v="525600.70000000007"/>
    <d v="2024-10-10T00:00:00"/>
    <s v="KO"/>
    <s v="Echue"/>
    <x v="1"/>
    <s v="OK"/>
    <s v="KO"/>
    <s v="A renouveller"/>
    <x v="78"/>
    <x v="78"/>
  </r>
  <r>
    <x v="79"/>
    <x v="0"/>
    <n v="36741722297"/>
    <s v="Maghreb Steel"/>
    <x v="7"/>
    <s v="98710/2023/1"/>
    <x v="0"/>
    <s v="OK"/>
    <n v="0.6"/>
    <d v="2023-12-24T00:00:00"/>
    <d v="2025-06-24T00:00:00"/>
    <s v="Pas réglé"/>
    <m/>
    <m/>
    <m/>
    <m/>
    <m/>
    <m/>
    <s v="45325/2023/1"/>
    <s v="4893/2024/PO/DRE/CAC/ND"/>
    <n v="1429498"/>
    <n v="857698.79999999993"/>
    <n v="142949.80000000002"/>
    <d v="2024-03-27T00:00:00"/>
    <s v="OK"/>
    <s v="Echue"/>
    <x v="1"/>
    <s v="OK"/>
    <s v="OK"/>
    <s v="A renouveller"/>
    <x v="79"/>
    <x v="79"/>
  </r>
  <r>
    <x v="80"/>
    <x v="0"/>
    <n v="25104890872"/>
    <s v="Managem"/>
    <x v="2"/>
    <s v="44210/2023/1"/>
    <x v="0"/>
    <s v="OK"/>
    <n v="0.6"/>
    <d v="2023-06-15T00:00:00"/>
    <d v="2024-12-15T00:00:00"/>
    <s v="Réglé"/>
    <d v="2023-11-03T00:00:00"/>
    <d v="2023-10-03T00:00:00"/>
    <s v="DOUNIALI"/>
    <s v="Front"/>
    <d v="2024-02-28T00:00:00"/>
    <m/>
    <s v="81837/2023/1"/>
    <s v="8606/2024/PO/DRE/CAC/ND"/>
    <n v="5410634"/>
    <n v="3246380.4"/>
    <n v="541063.4"/>
    <d v="2024-05-17T00:00:00"/>
    <s v="OK"/>
    <s v="Echue"/>
    <x v="1"/>
    <s v="OK"/>
    <s v="OK"/>
    <s v="A renouveller"/>
    <x v="80"/>
    <x v="80"/>
  </r>
  <r>
    <x v="81"/>
    <x v="0"/>
    <n v="80145661817"/>
    <s v="Banque Populaire"/>
    <x v="7"/>
    <s v="65264/2023/1"/>
    <x v="1"/>
    <s v="KO"/>
    <n v="0.6"/>
    <d v="2023-04-13T00:00:00"/>
    <d v="2024-10-13T00:00:00"/>
    <s v="Pas réglé"/>
    <m/>
    <m/>
    <m/>
    <m/>
    <m/>
    <m/>
    <s v="24512/2023/1"/>
    <s v="9371/2024/PO/DRE/CAC/ND"/>
    <n v="9390289"/>
    <n v="5634173.3999999994"/>
    <n v="939028.9"/>
    <d v="2024-06-03T00:00:00"/>
    <s v="KO"/>
    <s v="Echue"/>
    <x v="1"/>
    <s v="OK"/>
    <s v="KO"/>
    <s v="A renouveller"/>
    <x v="81"/>
    <x v="81"/>
  </r>
  <r>
    <x v="82"/>
    <x v="0"/>
    <n v="32912319874"/>
    <s v="BMCE Bank"/>
    <x v="3"/>
    <s v="50502/2023/1"/>
    <x v="1"/>
    <s v="KO"/>
    <n v="0.6"/>
    <d v="2023-10-08T00:00:00"/>
    <d v="2025-04-08T00:00:00"/>
    <s v="Pas réglé"/>
    <m/>
    <m/>
    <m/>
    <m/>
    <m/>
    <m/>
    <s v="61863/2023/1"/>
    <s v="5269/2024/PO/DRE/CAC/ND"/>
    <n v="6921565"/>
    <n v="4152939"/>
    <n v="692156.5"/>
    <d v="2024-11-21T00:00:00"/>
    <s v="KO"/>
    <s v="Echue"/>
    <x v="1"/>
    <s v="OK"/>
    <s v="KO"/>
    <s v="A renouveller"/>
    <x v="82"/>
    <x v="82"/>
  </r>
  <r>
    <x v="83"/>
    <x v="0"/>
    <n v="66055044883"/>
    <s v="Managem"/>
    <x v="6"/>
    <s v="18728/2023/1"/>
    <x v="1"/>
    <s v="OK"/>
    <n v="0.6"/>
    <d v="2023-08-27T00:00:00"/>
    <d v="2025-02-27T00:00:00"/>
    <s v="Réglé"/>
    <d v="2023-10-20T00:00:00"/>
    <d v="2023-10-03T00:00:00"/>
    <s v="OCTROI"/>
    <s v="Tamwilcom"/>
    <d v="2024-09-05T00:00:00"/>
    <m/>
    <s v="20083/2023/1"/>
    <s v="4036/2024/PO/DRE/CAC/ND"/>
    <n v="2523860"/>
    <n v="1514316"/>
    <n v="252386"/>
    <d v="2024-04-15T00:00:00"/>
    <s v="OK"/>
    <s v="Valide"/>
    <x v="1"/>
    <s v="KO"/>
    <s v="OK"/>
    <s v="A renouveller"/>
    <x v="83"/>
    <x v="83"/>
  </r>
  <r>
    <x v="84"/>
    <x v="0"/>
    <n v="98191688656"/>
    <s v="BMCE Bank"/>
    <x v="5"/>
    <s v="88042/2023/1"/>
    <x v="0"/>
    <s v="KO"/>
    <n v="0.6"/>
    <d v="2023-12-01T00:00:00"/>
    <d v="2025-06-01T00:00:00"/>
    <s v="Réglé"/>
    <d v="2023-10-15T00:00:00"/>
    <d v="2023-12-12T00:00:00"/>
    <s v="DOUNIALI"/>
    <s v="Front"/>
    <d v="2024-02-15T00:00:00"/>
    <m/>
    <s v="90912/2023/1"/>
    <s v="2211/2024/PO/DRE/CAC/ND"/>
    <n v="4330268"/>
    <n v="2598160.7999999998"/>
    <n v="433026.80000000005"/>
    <d v="2024-05-06T00:00:00"/>
    <s v="KO"/>
    <s v="Valide"/>
    <x v="1"/>
    <s v="OK"/>
    <s v="KO"/>
    <s v="A renouveller"/>
    <x v="84"/>
    <x v="84"/>
  </r>
  <r>
    <x v="85"/>
    <x v="0"/>
    <n v="39055830149"/>
    <s v="Cosumar"/>
    <x v="8"/>
    <s v="30356/2023/1"/>
    <x v="1"/>
    <s v="OK"/>
    <n v="0.6"/>
    <d v="2023-11-27T00:00:00"/>
    <d v="2025-05-27T00:00:00"/>
    <s v="Réglé"/>
    <d v="2023-11-16T00:00:00"/>
    <d v="2024-01-03T00:00:00"/>
    <s v="OCTROI"/>
    <s v="Front"/>
    <d v="2024-03-12T00:00:00"/>
    <m/>
    <s v="58468/2023/1"/>
    <s v="2848/2024/PO/DRE/CAC/ND"/>
    <n v="5611024"/>
    <n v="3366614.4"/>
    <n v="561102.4"/>
    <d v="2024-04-07T00:00:00"/>
    <s v="OK"/>
    <s v="Echue"/>
    <x v="1"/>
    <s v="KO"/>
    <s v="OK"/>
    <s v="A renouveller"/>
    <x v="85"/>
    <x v="85"/>
  </r>
  <r>
    <x v="86"/>
    <x v="0"/>
    <n v="20881957576"/>
    <s v="Maroc Telecom"/>
    <x v="7"/>
    <s v="65917/2023/1"/>
    <x v="1"/>
    <s v="OK"/>
    <n v="0.6"/>
    <d v="2023-04-15T00:00:00"/>
    <d v="2024-10-15T00:00:00"/>
    <s v="Pas réglé"/>
    <m/>
    <m/>
    <m/>
    <m/>
    <m/>
    <m/>
    <s v="68365/2023/1"/>
    <s v="3435/2024/PO/DRE/CAC/ND"/>
    <n v="6345944"/>
    <n v="3807566.4"/>
    <n v="634594.4"/>
    <d v="2024-05-31T00:00:00"/>
    <s v="OK"/>
    <s v="Echue"/>
    <x v="1"/>
    <s v="OK"/>
    <s v="OK"/>
    <s v="Valide"/>
    <x v="86"/>
    <x v="86"/>
  </r>
  <r>
    <x v="87"/>
    <x v="0"/>
    <n v="91612484409"/>
    <s v="Banque Populaire"/>
    <x v="6"/>
    <s v="11962/2023/1"/>
    <x v="1"/>
    <s v="KO"/>
    <n v="0.6"/>
    <d v="2023-11-24T00:00:00"/>
    <d v="2025-05-24T00:00:00"/>
    <s v="Pas réglé"/>
    <m/>
    <m/>
    <m/>
    <m/>
    <m/>
    <m/>
    <s v="21854/2023/1"/>
    <s v="4836/2024/PO/DRE/CAC/ND"/>
    <n v="3293219"/>
    <n v="1975931.4"/>
    <n v="329321.90000000002"/>
    <d v="2024-11-13T00:00:00"/>
    <s v="KO"/>
    <s v="Echue"/>
    <x v="1"/>
    <s v="KO"/>
    <s v="KO"/>
    <s v="Valide"/>
    <x v="87"/>
    <x v="87"/>
  </r>
  <r>
    <x v="88"/>
    <x v="0"/>
    <n v="13799388703"/>
    <s v="BMCE Bank"/>
    <x v="6"/>
    <s v="55309/2023/1"/>
    <x v="1"/>
    <s v="KO"/>
    <n v="0.6"/>
    <d v="2023-02-13T00:00:00"/>
    <d v="2024-08-13T00:00:00"/>
    <s v="Pas réglé"/>
    <m/>
    <m/>
    <m/>
    <m/>
    <m/>
    <m/>
    <s v="63300/2023/1"/>
    <s v="5432/2024/PO/DRE/CAC/ND"/>
    <n v="8108758"/>
    <n v="4865254.8"/>
    <n v="810875.8"/>
    <d v="2024-09-01T00:00:00"/>
    <s v="KO"/>
    <s v="Echue"/>
    <x v="1"/>
    <s v="KO"/>
    <s v="KO"/>
    <s v="A renouveller"/>
    <x v="88"/>
    <x v="88"/>
  </r>
  <r>
    <x v="89"/>
    <x v="0"/>
    <n v="57700681666"/>
    <s v="Ciments du Maroc"/>
    <x v="6"/>
    <s v="18268/2023/1"/>
    <x v="1"/>
    <s v="OK"/>
    <n v="0.6"/>
    <d v="2023-02-20T00:00:00"/>
    <d v="2024-08-20T00:00:00"/>
    <s v="Réglé"/>
    <d v="2023-03-01T00:00:00"/>
    <d v="2023-10-29T00:00:00"/>
    <s v="DOUNIALI"/>
    <s v="Front"/>
    <d v="2024-10-29T00:00:00"/>
    <m/>
    <s v="98957/2023/1"/>
    <s v="5847/2024/PO/DRE/CAC/ND"/>
    <n v="6514901"/>
    <n v="3908940.5999999996"/>
    <n v="651490.10000000009"/>
    <d v="2024-05-23T00:00:00"/>
    <s v="OK"/>
    <s v="Echue"/>
    <x v="1"/>
    <s v="KO"/>
    <s v="OK"/>
    <s v="A renouveller"/>
    <x v="89"/>
    <x v="89"/>
  </r>
  <r>
    <x v="90"/>
    <x v="0"/>
    <n v="10238988247"/>
    <s v="OCP Group"/>
    <x v="7"/>
    <s v="74211/2023/1"/>
    <x v="1"/>
    <s v="KO"/>
    <n v="0.6"/>
    <d v="2023-09-09T00:00:00"/>
    <d v="2025-03-09T00:00:00"/>
    <s v="Pas réglé"/>
    <m/>
    <m/>
    <m/>
    <m/>
    <m/>
    <m/>
    <s v="20609/2023/1"/>
    <s v="6108/2024/PO/DRE/CAC/ND"/>
    <n v="6678694"/>
    <n v="4007216.4"/>
    <n v="667869.4"/>
    <d v="2024-11-20T00:00:00"/>
    <s v="KO"/>
    <s v="Echue"/>
    <x v="1"/>
    <s v="KO"/>
    <s v="KO"/>
    <s v="A renouveller"/>
    <x v="90"/>
    <x v="90"/>
  </r>
  <r>
    <x v="91"/>
    <x v="0"/>
    <n v="90051714729"/>
    <s v="Société Générale Maroc"/>
    <x v="9"/>
    <s v="74754/2023/1"/>
    <x v="0"/>
    <s v="KO"/>
    <n v="0.6"/>
    <d v="2023-11-22T00:00:00"/>
    <d v="2025-05-22T00:00:00"/>
    <s v="Réglé"/>
    <d v="2023-06-07T00:00:00"/>
    <d v="2024-09-02T00:00:00"/>
    <s v="DOUNIALI"/>
    <s v="Tamwilcom"/>
    <d v="2024-05-06T00:00:00"/>
    <m/>
    <s v="49435/2023/1"/>
    <s v="8190/2024/PO/DRE/CAC/ND"/>
    <n v="3694915"/>
    <n v="2216949"/>
    <n v="369491.5"/>
    <d v="2024-06-17T00:00:00"/>
    <s v="KO"/>
    <s v="Echue"/>
    <x v="1"/>
    <s v="KO"/>
    <s v="KO"/>
    <s v="Valide"/>
    <x v="91"/>
    <x v="91"/>
  </r>
  <r>
    <x v="92"/>
    <x v="0"/>
    <n v="81466260160"/>
    <s v="BMCE Bank"/>
    <x v="5"/>
    <s v="40412/2023/1"/>
    <x v="0"/>
    <s v="OK"/>
    <n v="0.6"/>
    <d v="2023-09-10T00:00:00"/>
    <d v="2025-03-10T00:00:00"/>
    <s v="Pas réglé"/>
    <m/>
    <m/>
    <m/>
    <m/>
    <m/>
    <m/>
    <s v="27092/2023/1"/>
    <s v="1951/2024/PO/DRE/CAC/ND"/>
    <n v="9557417"/>
    <n v="5734450.2000000002"/>
    <n v="955741.70000000007"/>
    <d v="2024-08-04T00:00:00"/>
    <s v="OK"/>
    <s v="Echue"/>
    <x v="1"/>
    <s v="OK"/>
    <s v="OK"/>
    <s v="Valide"/>
    <x v="92"/>
    <x v="92"/>
  </r>
  <r>
    <x v="93"/>
    <x v="0"/>
    <n v="99879492567"/>
    <s v="Managem"/>
    <x v="8"/>
    <s v="48554/2023/1"/>
    <x v="0"/>
    <s v="OK"/>
    <n v="0.6"/>
    <d v="2023-03-25T00:00:00"/>
    <d v="2024-09-25T00:00:00"/>
    <s v="Pas réglé"/>
    <m/>
    <m/>
    <m/>
    <m/>
    <m/>
    <m/>
    <s v="95154/2023/1"/>
    <s v="8191/2024/PO/DRE/CAC/ND"/>
    <n v="7478520"/>
    <n v="4487112"/>
    <n v="747852"/>
    <d v="2024-08-17T00:00:00"/>
    <s v="OK"/>
    <s v="Valide"/>
    <x v="1"/>
    <s v="OK"/>
    <s v="OK"/>
    <s v="A renouveller"/>
    <x v="93"/>
    <x v="93"/>
  </r>
  <r>
    <x v="94"/>
    <x v="0"/>
    <n v="94125157139"/>
    <s v="Maghreb Steel"/>
    <x v="3"/>
    <s v="18332/2023/1"/>
    <x v="0"/>
    <s v="KO"/>
    <n v="0.6"/>
    <d v="2023-05-25T00:00:00"/>
    <d v="2024-11-25T00:00:00"/>
    <s v="Pas réglé"/>
    <m/>
    <m/>
    <m/>
    <m/>
    <m/>
    <m/>
    <s v="97336/2023/1"/>
    <s v="4445/2024/PO/DRE/CAC/ND"/>
    <n v="7857568"/>
    <n v="4714540.8"/>
    <n v="785756.8"/>
    <d v="2024-10-20T00:00:00"/>
    <s v="KO"/>
    <s v="Valide"/>
    <x v="1"/>
    <s v="KO"/>
    <s v="KO"/>
    <s v="A renouveller"/>
    <x v="94"/>
    <x v="94"/>
  </r>
  <r>
    <x v="95"/>
    <x v="0"/>
    <n v="71558028948"/>
    <s v="Maghreb Steel"/>
    <x v="2"/>
    <s v="56816/2023/1"/>
    <x v="1"/>
    <s v="KO"/>
    <n v="0.6"/>
    <d v="2023-11-20T00:00:00"/>
    <d v="2025-05-20T00:00:00"/>
    <s v="Pas réglé"/>
    <m/>
    <m/>
    <m/>
    <m/>
    <m/>
    <m/>
    <s v="69589/2023/1"/>
    <s v="7207/2024/PO/DRE/CAC/ND"/>
    <n v="1605178"/>
    <n v="963106.79999999993"/>
    <n v="160517.80000000002"/>
    <d v="2024-10-06T00:00:00"/>
    <s v="KO"/>
    <s v="Echue"/>
    <x v="1"/>
    <s v="KO"/>
    <s v="KO"/>
    <s v="Valide"/>
    <x v="95"/>
    <x v="95"/>
  </r>
  <r>
    <x v="96"/>
    <x v="0"/>
    <n v="25204383275"/>
    <s v="OCP Group"/>
    <x v="1"/>
    <s v="94833/2023/1"/>
    <x v="0"/>
    <s v="OK"/>
    <n v="0.7"/>
    <d v="2023-08-23T00:00:00"/>
    <d v="2025-02-23T00:00:00"/>
    <s v="Réglé"/>
    <d v="2023-03-12T00:00:00"/>
    <d v="2024-03-14T00:00:00"/>
    <s v="OCTROI"/>
    <s v="Front"/>
    <d v="2024-10-11T00:00:00"/>
    <m/>
    <s v="85496/2023/1"/>
    <s v="1888/2024/PO/DRE/CAC/ND"/>
    <n v="7797005"/>
    <n v="4678203"/>
    <n v="779700.5"/>
    <d v="2024-12-26T00:00:00"/>
    <s v="OK"/>
    <s v="Valide"/>
    <x v="1"/>
    <s v="OK"/>
    <s v="OK"/>
    <s v="A renouveller"/>
    <x v="96"/>
    <x v="96"/>
  </r>
  <r>
    <x v="97"/>
    <x v="0"/>
    <n v="22055018985"/>
    <s v="Maghreb Steel"/>
    <x v="8"/>
    <s v="65008/2023/1"/>
    <x v="1"/>
    <s v="KO"/>
    <n v="0.6"/>
    <d v="2023-11-26T00:00:00"/>
    <d v="2025-05-26T00:00:00"/>
    <s v="Réglé"/>
    <d v="2023-03-16T00:00:00"/>
    <d v="2024-11-18T00:00:00"/>
    <s v="DOUNIALI"/>
    <s v="Tamwilcom"/>
    <d v="2024-04-12T00:00:00"/>
    <m/>
    <s v="25917/2023/1"/>
    <s v="2527/2024/PO/DRE/CAC/ND"/>
    <n v="1836548"/>
    <n v="1101928.8"/>
    <n v="183654.80000000002"/>
    <d v="2024-11-30T00:00:00"/>
    <s v="KO"/>
    <s v="Valide"/>
    <x v="1"/>
    <s v="KO"/>
    <s v="KO"/>
    <s v="A renouveller"/>
    <x v="97"/>
    <x v="97"/>
  </r>
  <r>
    <x v="98"/>
    <x v="0"/>
    <n v="12535798815"/>
    <s v="2M Atlas"/>
    <x v="7"/>
    <s v="45388/2023/1"/>
    <x v="1"/>
    <s v="OK"/>
    <n v="0.6"/>
    <d v="2023-09-09T00:00:00"/>
    <d v="2025-03-09T00:00:00"/>
    <s v="Pas réglé"/>
    <m/>
    <m/>
    <m/>
    <m/>
    <m/>
    <m/>
    <s v="89008/2023/1"/>
    <s v="5443/2024/PO/DRE/CAC/ND"/>
    <n v="2248275"/>
    <n v="1348965"/>
    <n v="224827.5"/>
    <d v="2024-02-17T00:00:00"/>
    <s v="OK"/>
    <s v="Echue"/>
    <x v="1"/>
    <s v="KO"/>
    <s v="OK"/>
    <s v="Valide"/>
    <x v="98"/>
    <x v="98"/>
  </r>
  <r>
    <x v="99"/>
    <x v="0"/>
    <n v="55292235485"/>
    <s v="Maghreb Steel"/>
    <x v="6"/>
    <s v="77521/2023/1"/>
    <x v="1"/>
    <s v="KO"/>
    <n v="0.5"/>
    <d v="2023-01-28T00:00:00"/>
    <d v="2024-07-28T00:00:00"/>
    <s v="Réglé"/>
    <d v="2023-11-07T00:00:00"/>
    <d v="2023-08-10T00:00:00"/>
    <s v="DOUNIALI"/>
    <s v="Tamwilcom"/>
    <d v="2024-06-11T00:00:00"/>
    <m/>
    <s v="37959/2023/1"/>
    <s v="5775/2024/PO/DRE/CAC/ND"/>
    <n v="6386765"/>
    <n v="3832059"/>
    <n v="638676.5"/>
    <d v="2024-02-15T00:00:00"/>
    <s v="KO"/>
    <s v="Valide"/>
    <x v="1"/>
    <s v="OK"/>
    <s v="KO"/>
    <s v="Valide"/>
    <x v="99"/>
    <x v="99"/>
  </r>
  <r>
    <x v="100"/>
    <x v="1"/>
    <n v="98693967889"/>
    <s v="Maroc Telecom"/>
    <x v="5"/>
    <s v="90281/2023/1"/>
    <x v="1"/>
    <s v="KO"/>
    <n v="0.6"/>
    <d v="2023-06-15T00:00:00"/>
    <d v="2024-12-15T00:00:00"/>
    <s v="Pas réglé"/>
    <m/>
    <m/>
    <m/>
    <m/>
    <m/>
    <m/>
    <s v="50599/2023/1"/>
    <s v="8164/2024/PO/DRE/CAC/ND"/>
    <n v="5138666"/>
    <n v="3083199.6"/>
    <n v="513866.60000000003"/>
    <d v="2024-10-11T00:00:00"/>
    <s v="KO"/>
    <s v="Valide"/>
    <x v="1"/>
    <s v="KO"/>
    <s v="KO"/>
    <s v="Valide"/>
    <x v="100"/>
    <x v="100"/>
  </r>
  <r>
    <x v="101"/>
    <x v="1"/>
    <n v="72135896111"/>
    <s v="Ciments du Maroc"/>
    <x v="5"/>
    <s v="49787/2023/1"/>
    <x v="1"/>
    <s v="KO"/>
    <n v="0.6"/>
    <d v="2023-05-11T00:00:00"/>
    <d v="2024-11-11T00:00:00"/>
    <s v="Pas réglé"/>
    <m/>
    <m/>
    <m/>
    <m/>
    <m/>
    <m/>
    <s v="96529/2023/1"/>
    <s v="6484/2024/PO/DRE/CAC/ND"/>
    <n v="1507682"/>
    <n v="904609.2"/>
    <n v="150768.20000000001"/>
    <d v="2024-03-14T00:00:00"/>
    <s v="KO"/>
    <s v="Echue"/>
    <x v="1"/>
    <s v="OK"/>
    <s v="KO"/>
    <s v="A renouveller"/>
    <x v="101"/>
    <x v="101"/>
  </r>
  <r>
    <x v="102"/>
    <x v="1"/>
    <n v="44210520568"/>
    <s v="OCP Group"/>
    <x v="7"/>
    <s v="13010/2023/1"/>
    <x v="1"/>
    <s v="KO"/>
    <n v="0.6"/>
    <d v="2023-04-06T00:00:00"/>
    <d v="2024-10-06T00:00:00"/>
    <s v="Réglé"/>
    <d v="2023-08-17T00:00:00"/>
    <d v="2023-05-30T00:00:00"/>
    <s v="DOUNIALI"/>
    <s v="Tamwilcom"/>
    <d v="2024-03-30T00:00:00"/>
    <m/>
    <s v="96522/2023/1"/>
    <s v="1729/2024/PO/DRE/CAC/ND"/>
    <n v="4803283"/>
    <n v="2881969.8"/>
    <n v="480328.30000000005"/>
    <d v="2024-08-08T00:00:00"/>
    <s v="KO"/>
    <s v="Echue"/>
    <x v="1"/>
    <s v="OK"/>
    <s v="KO"/>
    <s v="A renouveller"/>
    <x v="102"/>
    <x v="102"/>
  </r>
  <r>
    <x v="103"/>
    <x v="1"/>
    <n v="10511186982"/>
    <s v="Maghreb Steel"/>
    <x v="5"/>
    <s v="56056/2023/1"/>
    <x v="0"/>
    <s v="OK"/>
    <n v="0.7"/>
    <d v="2023-08-01T00:00:00"/>
    <d v="2025-02-01T00:00:00"/>
    <s v="Pas réglé"/>
    <m/>
    <m/>
    <m/>
    <m/>
    <m/>
    <m/>
    <s v="18761/2023/1"/>
    <s v="8560/2024/PO/DRE/CAC/ND"/>
    <n v="1911557"/>
    <n v="1146934.2"/>
    <n v="191155.7"/>
    <d v="2024-04-16T00:00:00"/>
    <s v="OK"/>
    <s v="Valide"/>
    <x v="1"/>
    <s v="OK"/>
    <s v="OK"/>
    <s v="Valide"/>
    <x v="103"/>
    <x v="103"/>
  </r>
  <r>
    <x v="104"/>
    <x v="1"/>
    <n v="12412244841"/>
    <s v="Managem"/>
    <x v="1"/>
    <s v="48648/2023/1"/>
    <x v="1"/>
    <s v="OK"/>
    <n v="0.6"/>
    <d v="2023-11-18T00:00:00"/>
    <d v="2025-05-18T00:00:00"/>
    <s v="Réglé"/>
    <d v="2023-10-29T00:00:00"/>
    <d v="2024-07-12T00:00:00"/>
    <s v="OCTROI"/>
    <s v="Front"/>
    <d v="2024-06-12T00:00:00"/>
    <m/>
    <s v="71889/2023/1"/>
    <s v="2229/2024/PO/DRE/CAC/ND"/>
    <n v="9912016"/>
    <n v="5947209.5999999996"/>
    <n v="991201.60000000009"/>
    <d v="2024-04-12T00:00:00"/>
    <s v="OK"/>
    <s v="Valide"/>
    <x v="1"/>
    <s v="OK"/>
    <s v="OK"/>
    <s v="A renouveller"/>
    <x v="104"/>
    <x v="104"/>
  </r>
  <r>
    <x v="105"/>
    <x v="1"/>
    <n v="34103520846"/>
    <s v="Maghreb Steel"/>
    <x v="9"/>
    <s v="96126/2023/1"/>
    <x v="1"/>
    <s v="KO"/>
    <n v="0.7"/>
    <d v="2023-08-12T00:00:00"/>
    <d v="2025-02-12T00:00:00"/>
    <s v="Pas réglé"/>
    <m/>
    <m/>
    <m/>
    <m/>
    <m/>
    <m/>
    <s v="39802/2023/1"/>
    <s v="9297/2024/PO/DRE/CAC/ND"/>
    <n v="7359220"/>
    <n v="4415532"/>
    <n v="735922"/>
    <d v="2024-02-28T00:00:00"/>
    <s v="KO"/>
    <s v="Valide"/>
    <x v="1"/>
    <s v="KO"/>
    <s v="KO"/>
    <s v="Valide"/>
    <x v="105"/>
    <x v="105"/>
  </r>
  <r>
    <x v="106"/>
    <x v="1"/>
    <n v="93924618344"/>
    <s v="Managem"/>
    <x v="9"/>
    <s v="86130/2023/1"/>
    <x v="0"/>
    <s v="KO"/>
    <n v="0.6"/>
    <d v="2023-02-21T00:00:00"/>
    <d v="2024-08-21T00:00:00"/>
    <s v="Réglé"/>
    <d v="2023-04-01T00:00:00"/>
    <d v="2023-04-29T00:00:00"/>
    <s v="OCTROI"/>
    <s v="Front"/>
    <d v="2024-05-31T00:00:00"/>
    <m/>
    <s v="23006/2023/1"/>
    <s v="1804/2024/PO/DRE/CAC/ND"/>
    <n v="4853170"/>
    <n v="2911902"/>
    <n v="485317"/>
    <d v="2024-03-10T00:00:00"/>
    <s v="KO"/>
    <s v="Valide"/>
    <x v="1"/>
    <s v="KO"/>
    <s v="KO"/>
    <s v="Valide"/>
    <x v="106"/>
    <x v="106"/>
  </r>
  <r>
    <x v="107"/>
    <x v="1"/>
    <n v="62370101384"/>
    <s v="Maroc Telecom"/>
    <x v="3"/>
    <s v="60539/2023/1"/>
    <x v="0"/>
    <s v="OK"/>
    <n v="0.6"/>
    <d v="2023-08-26T00:00:00"/>
    <d v="2025-02-26T00:00:00"/>
    <s v="Réglé"/>
    <d v="2023-11-15T00:00:00"/>
    <d v="2023-09-10T00:00:00"/>
    <s v="DOUNIALI"/>
    <s v="Tamwilcom"/>
    <d v="2024-10-06T00:00:00"/>
    <m/>
    <s v="53080/2023/1"/>
    <s v="8284/2024/PO/DRE/CAC/ND"/>
    <n v="6521710"/>
    <n v="3913026"/>
    <n v="652171"/>
    <d v="2024-03-09T00:00:00"/>
    <s v="OK"/>
    <s v="Valide"/>
    <x v="1"/>
    <s v="KO"/>
    <s v="OK"/>
    <s v="A renouveller"/>
    <x v="107"/>
    <x v="107"/>
  </r>
  <r>
    <x v="108"/>
    <x v="1"/>
    <n v="86255945824"/>
    <s v="Ciments du Maroc"/>
    <x v="9"/>
    <s v="69257/2023/1"/>
    <x v="0"/>
    <s v="KO"/>
    <n v="0.6"/>
    <d v="2023-12-06T00:00:00"/>
    <d v="2025-06-06T00:00:00"/>
    <s v="Pas réglé"/>
    <m/>
    <m/>
    <m/>
    <m/>
    <m/>
    <m/>
    <s v="73415/2023/1"/>
    <s v="5601/2024/PO/DRE/CAC/ND"/>
    <n v="7438139"/>
    <n v="4462883.3999999994"/>
    <n v="743813.9"/>
    <d v="2024-02-17T00:00:00"/>
    <s v="KO"/>
    <s v="Echue"/>
    <x v="1"/>
    <s v="OK"/>
    <s v="KO"/>
    <s v="A renouveller"/>
    <x v="108"/>
    <x v="108"/>
  </r>
  <r>
    <x v="109"/>
    <x v="1"/>
    <n v="16991395802"/>
    <s v="Ciments du Maroc"/>
    <x v="2"/>
    <s v="54298/2023/1"/>
    <x v="0"/>
    <s v="OK"/>
    <n v="0.7"/>
    <d v="2023-04-06T00:00:00"/>
    <d v="2024-10-06T00:00:00"/>
    <s v="Réglé"/>
    <d v="2023-05-25T00:00:00"/>
    <d v="2024-03-18T00:00:00"/>
    <s v="OCTROI"/>
    <s v="Front"/>
    <d v="2024-09-09T00:00:00"/>
    <m/>
    <s v="29683/2023/1"/>
    <s v="8965/2024/PO/DRE/CAC/ND"/>
    <n v="1043151"/>
    <n v="625890.6"/>
    <n v="104315.1"/>
    <d v="2024-02-15T00:00:00"/>
    <s v="OK"/>
    <s v="Valide"/>
    <x v="1"/>
    <s v="KO"/>
    <s v="OK"/>
    <s v="A renouveller"/>
    <x v="109"/>
    <x v="109"/>
  </r>
  <r>
    <x v="110"/>
    <x v="1"/>
    <n v="31929960239"/>
    <s v="Ciments du Maroc"/>
    <x v="0"/>
    <s v="60074/2023/1"/>
    <x v="0"/>
    <s v="KO"/>
    <n v="0.5"/>
    <d v="2023-09-04T00:00:00"/>
    <d v="2025-03-04T00:00:00"/>
    <s v="Réglé"/>
    <d v="2023-01-14T00:00:00"/>
    <d v="2023-10-31T00:00:00"/>
    <s v="OCTROI"/>
    <s v="Tamwilcom"/>
    <d v="2024-01-09T00:00:00"/>
    <m/>
    <s v="22975/2023/1"/>
    <s v="5206/2024/PO/DRE/CAC/ND"/>
    <n v="5920521"/>
    <n v="3552312.6"/>
    <n v="592052.1"/>
    <d v="2024-01-12T00:00:00"/>
    <s v="KO"/>
    <s v="Valide"/>
    <x v="1"/>
    <s v="OK"/>
    <s v="KO"/>
    <s v="A renouveller"/>
    <x v="110"/>
    <x v="110"/>
  </r>
  <r>
    <x v="111"/>
    <x v="1"/>
    <n v="80277001358"/>
    <s v="Banque Populaire"/>
    <x v="1"/>
    <s v="40962/2023/1"/>
    <x v="1"/>
    <s v="KO"/>
    <n v="0.6"/>
    <d v="2023-10-14T00:00:00"/>
    <d v="2025-04-14T00:00:00"/>
    <s v="Pas réglé"/>
    <m/>
    <m/>
    <m/>
    <m/>
    <m/>
    <m/>
    <s v="33976/2023/1"/>
    <s v="5234/2024/PO/DRE/CAC/ND"/>
    <n v="2340380"/>
    <n v="1404228"/>
    <n v="234038"/>
    <d v="2024-10-15T00:00:00"/>
    <s v="KO"/>
    <s v="Valide"/>
    <x v="1"/>
    <s v="KO"/>
    <s v="KO"/>
    <s v="Valide"/>
    <x v="111"/>
    <x v="111"/>
  </r>
  <r>
    <x v="112"/>
    <x v="1"/>
    <n v="24651696118"/>
    <s v="Banque Populaire"/>
    <x v="4"/>
    <s v="65405/2023/1"/>
    <x v="1"/>
    <s v="KO"/>
    <n v="0.7"/>
    <d v="2023-07-22T00:00:00"/>
    <d v="2025-01-22T00:00:00"/>
    <s v="Réglé"/>
    <d v="2023-08-16T00:00:00"/>
    <d v="2023-12-27T00:00:00"/>
    <s v="OCTROI"/>
    <s v="Front"/>
    <d v="2024-11-22T00:00:00"/>
    <m/>
    <s v="49324/2023/1"/>
    <s v="6743/2024/PO/DRE/CAC/ND"/>
    <n v="9770486"/>
    <n v="5862291.5999999996"/>
    <n v="977048.60000000009"/>
    <d v="2024-02-16T00:00:00"/>
    <s v="KO"/>
    <s v="Valide"/>
    <x v="1"/>
    <s v="KO"/>
    <s v="KO"/>
    <s v="A renouveller"/>
    <x v="112"/>
    <x v="112"/>
  </r>
  <r>
    <x v="113"/>
    <x v="1"/>
    <n v="49649577194"/>
    <s v="Maroc Telecom"/>
    <x v="2"/>
    <s v="18529/2023/1"/>
    <x v="1"/>
    <s v="OK"/>
    <n v="0.6"/>
    <d v="2023-07-18T00:00:00"/>
    <d v="2025-01-18T00:00:00"/>
    <s v="Pas réglé"/>
    <m/>
    <m/>
    <m/>
    <m/>
    <m/>
    <m/>
    <s v="38614/2023/1"/>
    <s v="5964/2024/PO/DRE/CAC/ND"/>
    <n v="8170948"/>
    <n v="4902568.8"/>
    <n v="817094.8"/>
    <d v="2024-01-03T00:00:00"/>
    <s v="OK"/>
    <s v="Echue"/>
    <x v="1"/>
    <s v="KO"/>
    <s v="OK"/>
    <s v="Valide"/>
    <x v="113"/>
    <x v="113"/>
  </r>
  <r>
    <x v="114"/>
    <x v="1"/>
    <n v="33080183619"/>
    <s v="Société Générale Maroc"/>
    <x v="2"/>
    <s v="19248/2023/1"/>
    <x v="1"/>
    <s v="KO"/>
    <n v="0.6"/>
    <d v="2023-10-18T00:00:00"/>
    <d v="2025-04-18T00:00:00"/>
    <s v="Réglé"/>
    <d v="2023-06-02T00:00:00"/>
    <d v="2024-03-01T00:00:00"/>
    <s v="OCTROI"/>
    <s v="Front"/>
    <d v="2024-05-30T00:00:00"/>
    <m/>
    <s v="30130/2023/1"/>
    <s v="4506/2024/PO/DRE/CAC/ND"/>
    <n v="6852475"/>
    <n v="4111485"/>
    <n v="685247.5"/>
    <d v="2024-03-05T00:00:00"/>
    <s v="KO"/>
    <s v="Valide"/>
    <x v="1"/>
    <s v="KO"/>
    <s v="KO"/>
    <s v="A renouveller"/>
    <x v="114"/>
    <x v="114"/>
  </r>
  <r>
    <x v="115"/>
    <x v="1"/>
    <n v="17505657414"/>
    <s v="Cosumar"/>
    <x v="5"/>
    <s v="52377/2023/1"/>
    <x v="1"/>
    <s v="OK"/>
    <n v="0.6"/>
    <d v="2023-04-25T00:00:00"/>
    <d v="2024-10-25T00:00:00"/>
    <s v="Réglé"/>
    <d v="2023-07-12T00:00:00"/>
    <d v="2023-09-03T00:00:00"/>
    <s v="OCTROI"/>
    <s v="Front"/>
    <d v="2024-12-29T00:00:00"/>
    <m/>
    <s v="64562/2023/1"/>
    <s v="9381/2024/PO/DRE/CAC/ND"/>
    <n v="6935565"/>
    <n v="4161339"/>
    <n v="693556.5"/>
    <d v="2024-03-31T00:00:00"/>
    <s v="OK"/>
    <s v="Echue"/>
    <x v="1"/>
    <s v="KO"/>
    <s v="OK"/>
    <s v="A renouveller"/>
    <x v="115"/>
    <x v="115"/>
  </r>
  <r>
    <x v="116"/>
    <x v="1"/>
    <n v="72182543056"/>
    <s v="BMCE Bank"/>
    <x v="0"/>
    <s v="40901/2023/1"/>
    <x v="1"/>
    <s v="KO"/>
    <n v="0.7"/>
    <d v="2023-06-19T00:00:00"/>
    <d v="2024-12-19T00:00:00"/>
    <s v="Pas réglé"/>
    <m/>
    <m/>
    <m/>
    <m/>
    <m/>
    <m/>
    <s v="29842/2023/1"/>
    <s v="7483/2024/PO/DRE/CAC/ND"/>
    <n v="4932029"/>
    <n v="2959217.4"/>
    <n v="493202.9"/>
    <d v="2024-03-22T00:00:00"/>
    <s v="KO"/>
    <s v="Valide"/>
    <x v="1"/>
    <s v="KO"/>
    <s v="KO"/>
    <s v="Valide"/>
    <x v="116"/>
    <x v="116"/>
  </r>
  <r>
    <x v="117"/>
    <x v="1"/>
    <n v="65001878593"/>
    <s v="Maroc Telecom"/>
    <x v="6"/>
    <s v="16226/2023/1"/>
    <x v="1"/>
    <s v="OK"/>
    <n v="0.6"/>
    <d v="2023-04-09T00:00:00"/>
    <d v="2024-10-09T00:00:00"/>
    <s v="Pas réglé"/>
    <m/>
    <m/>
    <m/>
    <m/>
    <m/>
    <m/>
    <s v="50322/2023/1"/>
    <s v="2289/2024/PO/DRE/CAC/ND"/>
    <n v="7561447"/>
    <n v="4536868.2"/>
    <n v="756144.70000000007"/>
    <d v="2024-03-01T00:00:00"/>
    <s v="OK"/>
    <s v="Echue"/>
    <x v="1"/>
    <s v="KO"/>
    <s v="OK"/>
    <s v="A renouveller"/>
    <x v="117"/>
    <x v="117"/>
  </r>
  <r>
    <x v="118"/>
    <x v="1"/>
    <n v="61989809632"/>
    <s v="Banque Populaire"/>
    <x v="0"/>
    <s v="66772/2023/1"/>
    <x v="1"/>
    <s v="KO"/>
    <n v="0.6"/>
    <d v="2023-05-22T00:00:00"/>
    <d v="2024-11-22T00:00:00"/>
    <s v="Pas réglé"/>
    <m/>
    <m/>
    <m/>
    <m/>
    <m/>
    <m/>
    <s v="85105/2023/1"/>
    <s v="5892/2024/PO/DRE/CAC/ND"/>
    <n v="9248759"/>
    <n v="5549255.3999999994"/>
    <n v="924875.9"/>
    <d v="2024-03-30T00:00:00"/>
    <s v="KO"/>
    <s v="Echue"/>
    <x v="1"/>
    <s v="KO"/>
    <s v="KO"/>
    <s v="A renouveller"/>
    <x v="118"/>
    <x v="118"/>
  </r>
  <r>
    <x v="119"/>
    <x v="1"/>
    <n v="40141438855"/>
    <s v="Société Générale Maroc"/>
    <x v="6"/>
    <s v="82515/2023/1"/>
    <x v="1"/>
    <s v="KO"/>
    <n v="0.6"/>
    <d v="2023-09-28T00:00:00"/>
    <d v="2025-03-28T00:00:00"/>
    <s v="Réglé"/>
    <d v="2023-12-23T00:00:00"/>
    <d v="2023-09-29T00:00:00"/>
    <s v="OCTROI"/>
    <s v="Tamwilcom"/>
    <d v="2024-02-22T00:00:00"/>
    <m/>
    <s v="99649/2023/1"/>
    <s v="6907/2024/PO/DRE/CAC/ND"/>
    <n v="7782957"/>
    <n v="4669774.2"/>
    <n v="778295.70000000007"/>
    <d v="2024-04-16T00:00:00"/>
    <s v="KO"/>
    <s v="Valide"/>
    <x v="1"/>
    <s v="KO"/>
    <s v="KO"/>
    <s v="Valide"/>
    <x v="119"/>
    <x v="119"/>
  </r>
  <r>
    <x v="120"/>
    <x v="1"/>
    <n v="87165849141"/>
    <s v="2M Atlas"/>
    <x v="8"/>
    <s v="82811/2023/1"/>
    <x v="1"/>
    <s v="OK"/>
    <n v="0.6"/>
    <d v="2023-05-21T00:00:00"/>
    <d v="2024-11-21T00:00:00"/>
    <s v="Pas réglé"/>
    <m/>
    <m/>
    <m/>
    <m/>
    <m/>
    <m/>
    <s v="73533/2023/1"/>
    <s v="1202/2024/PO/DRE/CAC/ND"/>
    <n v="4013564"/>
    <n v="2408138.4"/>
    <n v="401356.4"/>
    <d v="2024-01-05T00:00:00"/>
    <s v="OK"/>
    <s v="Echue"/>
    <x v="1"/>
    <s v="KO"/>
    <s v="OK"/>
    <s v="Valide"/>
    <x v="120"/>
    <x v="120"/>
  </r>
  <r>
    <x v="121"/>
    <x v="1"/>
    <n v="56319230872"/>
    <s v="Maghreb Steel"/>
    <x v="2"/>
    <s v="18534/2023/1"/>
    <x v="0"/>
    <s v="KO"/>
    <n v="0.7"/>
    <d v="2023-02-19T00:00:00"/>
    <d v="2024-08-19T00:00:00"/>
    <s v="Pas réglé"/>
    <m/>
    <m/>
    <m/>
    <m/>
    <m/>
    <m/>
    <s v="68321/2023/1"/>
    <s v="5279/2024/PO/DRE/CAC/ND"/>
    <n v="9054868"/>
    <n v="5432920.7999999998"/>
    <n v="905486.8"/>
    <d v="2024-12-12T00:00:00"/>
    <s v="KO"/>
    <s v="Valide"/>
    <x v="1"/>
    <s v="KO"/>
    <s v="KO"/>
    <s v="Valide"/>
    <x v="121"/>
    <x v="121"/>
  </r>
  <r>
    <x v="122"/>
    <x v="1"/>
    <n v="39314983026"/>
    <s v="2M Atlas"/>
    <x v="8"/>
    <s v="67541/2023/1"/>
    <x v="1"/>
    <s v="OK"/>
    <n v="0.5"/>
    <d v="2023-09-21T00:00:00"/>
    <d v="2025-03-21T00:00:00"/>
    <s v="Réglé"/>
    <d v="2023-04-04T00:00:00"/>
    <d v="2024-01-20T00:00:00"/>
    <s v="OCTROI"/>
    <s v="Front"/>
    <d v="2024-10-05T00:00:00"/>
    <m/>
    <s v="34096/2023/1"/>
    <s v="9598/2024/PO/DRE/CAC/ND"/>
    <n v="7794677"/>
    <n v="4676806.2"/>
    <n v="779467.70000000007"/>
    <d v="2024-04-03T00:00:00"/>
    <s v="OK"/>
    <s v="Echue"/>
    <x v="1"/>
    <s v="KO"/>
    <s v="OK"/>
    <s v="A renouveller"/>
    <x v="122"/>
    <x v="122"/>
  </r>
  <r>
    <x v="123"/>
    <x v="1"/>
    <n v="45767749037"/>
    <s v="2M Atlas"/>
    <x v="2"/>
    <s v="20535/2023/1"/>
    <x v="1"/>
    <s v="OK"/>
    <n v="0.6"/>
    <d v="2023-07-29T00:00:00"/>
    <d v="2025-01-29T00:00:00"/>
    <s v="Pas réglé"/>
    <m/>
    <m/>
    <m/>
    <m/>
    <m/>
    <m/>
    <s v="10568/2023/1"/>
    <s v="6670/2024/PO/DRE/CAC/ND"/>
    <n v="2356789"/>
    <n v="1414073.4"/>
    <n v="235678.90000000002"/>
    <d v="2024-12-18T00:00:00"/>
    <s v="OK"/>
    <s v="Valide"/>
    <x v="1"/>
    <s v="KO"/>
    <s v="OK"/>
    <s v="A renouveller"/>
    <x v="123"/>
    <x v="123"/>
  </r>
  <r>
    <x v="124"/>
    <x v="1"/>
    <n v="16260093598"/>
    <s v="Maroc Telecom"/>
    <x v="8"/>
    <s v="68130/2023/1"/>
    <x v="0"/>
    <s v="OK"/>
    <n v="0.6"/>
    <d v="2023-10-22T00:00:00"/>
    <d v="2025-04-22T00:00:00"/>
    <s v="Réglé"/>
    <d v="2023-11-04T00:00:00"/>
    <d v="2024-05-18T00:00:00"/>
    <s v="DOUNIALI"/>
    <s v="Front"/>
    <d v="2024-05-15T00:00:00"/>
    <m/>
    <s v="58630/2023/1"/>
    <s v="4402/2024/PO/DRE/CAC/ND"/>
    <n v="2927282"/>
    <n v="1756369.2"/>
    <n v="292728.2"/>
    <d v="2024-03-27T00:00:00"/>
    <s v="OK"/>
    <s v="Echue"/>
    <x v="1"/>
    <s v="KO"/>
    <s v="OK"/>
    <s v="A renouveller"/>
    <x v="124"/>
    <x v="124"/>
  </r>
  <r>
    <x v="125"/>
    <x v="1"/>
    <n v="99348049047"/>
    <s v="Managem"/>
    <x v="5"/>
    <s v="39174/2023/1"/>
    <x v="0"/>
    <s v="OK"/>
    <n v="0.6"/>
    <d v="2023-08-10T00:00:00"/>
    <d v="2025-02-10T00:00:00"/>
    <s v="Réglé"/>
    <d v="2023-09-18T00:00:00"/>
    <d v="2024-04-13T00:00:00"/>
    <s v="OCTROI"/>
    <s v="Front"/>
    <d v="2024-08-15T00:00:00"/>
    <m/>
    <s v="83914/2023/1"/>
    <s v="8808/2024/PO/DRE/CAC/ND"/>
    <n v="1843779"/>
    <n v="1106267.3999999999"/>
    <n v="184377.90000000002"/>
    <d v="2024-09-30T00:00:00"/>
    <s v="OK"/>
    <s v="Echue"/>
    <x v="1"/>
    <s v="KO"/>
    <s v="OK"/>
    <s v="A renouveller"/>
    <x v="125"/>
    <x v="125"/>
  </r>
  <r>
    <x v="126"/>
    <x v="1"/>
    <n v="52900249370"/>
    <s v="OCP Group"/>
    <x v="2"/>
    <s v="70451/2023/1"/>
    <x v="1"/>
    <s v="KO"/>
    <n v="0.6"/>
    <d v="2023-05-22T00:00:00"/>
    <d v="2024-11-22T00:00:00"/>
    <s v="Réglé"/>
    <d v="2023-12-14T00:00:00"/>
    <d v="2023-12-14T00:00:00"/>
    <s v="DOUNIALI"/>
    <s v="Front"/>
    <d v="2024-05-17T00:00:00"/>
    <m/>
    <s v="56136/2023/1"/>
    <s v="1182/2024/PO/DRE/CAC/ND"/>
    <n v="7724199"/>
    <n v="4634519.3999999994"/>
    <n v="772419.9"/>
    <d v="2024-06-28T00:00:00"/>
    <s v="KO"/>
    <s v="Echue"/>
    <x v="1"/>
    <s v="KO"/>
    <s v="KO"/>
    <s v="A renouveller"/>
    <x v="126"/>
    <x v="126"/>
  </r>
  <r>
    <x v="127"/>
    <x v="1"/>
    <n v="42771876755"/>
    <s v="OCP Group"/>
    <x v="8"/>
    <s v="57046/2023/1"/>
    <x v="1"/>
    <s v="OK"/>
    <n v="0.7"/>
    <d v="2023-12-05T00:00:00"/>
    <d v="2025-06-05T00:00:00"/>
    <s v="Réglé"/>
    <d v="2023-12-15T00:00:00"/>
    <d v="2024-02-11T00:00:00"/>
    <s v="OCTROI"/>
    <s v="Tamwilcom"/>
    <d v="2024-01-10T00:00:00"/>
    <m/>
    <s v="79523/2023/1"/>
    <s v="8800/2024/PO/DRE/CAC/ND"/>
    <n v="3375082"/>
    <n v="2025049.2"/>
    <n v="337508.2"/>
    <d v="2024-08-10T00:00:00"/>
    <s v="OK"/>
    <s v="Echue"/>
    <x v="1"/>
    <s v="KO"/>
    <s v="OK"/>
    <s v="Valide"/>
    <x v="127"/>
    <x v="127"/>
  </r>
  <r>
    <x v="128"/>
    <x v="1"/>
    <n v="32840740012"/>
    <s v="BMCE Bank"/>
    <x v="2"/>
    <s v="79136/2023/1"/>
    <x v="0"/>
    <s v="OK"/>
    <n v="0.7"/>
    <d v="2023-09-19T00:00:00"/>
    <d v="2025-03-19T00:00:00"/>
    <s v="Pas réglé"/>
    <m/>
    <m/>
    <m/>
    <m/>
    <m/>
    <m/>
    <s v="56599/2023/1"/>
    <s v="1842/2024/PO/DRE/CAC/ND"/>
    <n v="7935560"/>
    <n v="4761336"/>
    <n v="793556"/>
    <d v="2024-01-26T00:00:00"/>
    <s v="OK"/>
    <s v="Valide"/>
    <x v="1"/>
    <s v="KO"/>
    <s v="OK"/>
    <s v="Valide"/>
    <x v="128"/>
    <x v="128"/>
  </r>
  <r>
    <x v="129"/>
    <x v="1"/>
    <n v="81868704360"/>
    <s v="2M Atlas"/>
    <x v="8"/>
    <s v="53278/2023/1"/>
    <x v="0"/>
    <s v="OK"/>
    <n v="0.6"/>
    <d v="2023-08-23T00:00:00"/>
    <d v="2025-02-23T00:00:00"/>
    <s v="Réglé"/>
    <d v="2023-03-17T00:00:00"/>
    <d v="2024-08-18T00:00:00"/>
    <s v="OCTROI"/>
    <s v="Front"/>
    <d v="2024-01-04T00:00:00"/>
    <m/>
    <s v="21031/2023/1"/>
    <s v="3043/2024/PO/DRE/CAC/ND"/>
    <n v="8268235"/>
    <n v="4960941"/>
    <n v="826823.5"/>
    <d v="2024-03-30T00:00:00"/>
    <s v="OK"/>
    <s v="Valide"/>
    <x v="1"/>
    <s v="KO"/>
    <s v="OK"/>
    <s v="A renouveller"/>
    <x v="129"/>
    <x v="129"/>
  </r>
  <r>
    <x v="130"/>
    <x v="1"/>
    <n v="45148159844"/>
    <s v="Cosumar"/>
    <x v="4"/>
    <s v="32015/2023/1"/>
    <x v="1"/>
    <s v="OK"/>
    <n v="0.7"/>
    <d v="2023-05-23T00:00:00"/>
    <d v="2024-11-23T00:00:00"/>
    <s v="Pas réglé"/>
    <m/>
    <m/>
    <m/>
    <m/>
    <m/>
    <m/>
    <s v="43423/2023/1"/>
    <s v="3525/2024/PO/DRE/CAC/ND"/>
    <n v="1271994"/>
    <n v="763196.4"/>
    <n v="127199.40000000001"/>
    <d v="2024-03-06T00:00:00"/>
    <s v="OK"/>
    <s v="Valide"/>
    <x v="1"/>
    <s v="KO"/>
    <s v="OK"/>
    <s v="Valide"/>
    <x v="130"/>
    <x v="130"/>
  </r>
  <r>
    <x v="131"/>
    <x v="1"/>
    <n v="73668512920"/>
    <s v="OCP Group"/>
    <x v="9"/>
    <s v="45435/2023/1"/>
    <x v="0"/>
    <s v="KO"/>
    <n v="0.6"/>
    <d v="2023-06-23T00:00:00"/>
    <d v="2024-12-23T00:00:00"/>
    <s v="Réglé"/>
    <d v="2023-11-15T00:00:00"/>
    <d v="2023-10-28T00:00:00"/>
    <s v="DOUNIALI"/>
    <s v="Front"/>
    <d v="2024-09-22T00:00:00"/>
    <m/>
    <s v="37887/2023/1"/>
    <s v="4535/2024/PO/DRE/CAC/ND"/>
    <n v="6501648"/>
    <n v="3900988.8"/>
    <n v="650164.80000000005"/>
    <d v="2024-04-08T00:00:00"/>
    <s v="KO"/>
    <s v="Valide"/>
    <x v="1"/>
    <s v="KO"/>
    <s v="KO"/>
    <s v="Valide"/>
    <x v="131"/>
    <x v="131"/>
  </r>
  <r>
    <x v="132"/>
    <x v="1"/>
    <n v="50052947326"/>
    <s v="BMCE Bank"/>
    <x v="7"/>
    <s v="78941/2023/1"/>
    <x v="0"/>
    <s v="OK"/>
    <n v="0.6"/>
    <d v="2023-12-25T00:00:00"/>
    <d v="2025-06-25T00:00:00"/>
    <s v="Pas réglé"/>
    <m/>
    <m/>
    <m/>
    <m/>
    <m/>
    <m/>
    <s v="30664/2023/1"/>
    <s v="4796/2024/PO/DRE/CAC/ND"/>
    <n v="9894824"/>
    <n v="5936894.3999999994"/>
    <n v="989482.4"/>
    <d v="2024-06-18T00:00:00"/>
    <s v="OK"/>
    <s v="Valide"/>
    <x v="1"/>
    <s v="KO"/>
    <s v="OK"/>
    <s v="A renouveller"/>
    <x v="132"/>
    <x v="132"/>
  </r>
  <r>
    <x v="133"/>
    <x v="1"/>
    <n v="64819482661"/>
    <s v="Société Générale Maroc"/>
    <x v="1"/>
    <s v="85761/2023/1"/>
    <x v="1"/>
    <s v="OK"/>
    <n v="0.6"/>
    <d v="2023-05-13T00:00:00"/>
    <d v="2024-11-13T00:00:00"/>
    <s v="Réglé"/>
    <d v="2023-05-14T00:00:00"/>
    <d v="2024-02-27T00:00:00"/>
    <s v="OCTROI"/>
    <s v="Tamwilcom"/>
    <d v="2024-12-05T00:00:00"/>
    <m/>
    <s v="35399/2023/1"/>
    <s v="6003/2024/PO/DRE/CAC/ND"/>
    <n v="7805548"/>
    <n v="4683328.8"/>
    <n v="780554.8"/>
    <d v="2024-04-08T00:00:00"/>
    <s v="OK"/>
    <s v="Echue"/>
    <x v="1"/>
    <s v="KO"/>
    <s v="OK"/>
    <s v="Valide"/>
    <x v="133"/>
    <x v="133"/>
  </r>
  <r>
    <x v="134"/>
    <x v="1"/>
    <n v="37524853233"/>
    <s v="Cosumar"/>
    <x v="7"/>
    <s v="63653/2023/1"/>
    <x v="0"/>
    <s v="OK"/>
    <n v="0.6"/>
    <d v="2023-05-02T00:00:00"/>
    <d v="2024-11-02T00:00:00"/>
    <s v="Réglé"/>
    <d v="2023-09-03T00:00:00"/>
    <d v="2023-09-22T00:00:00"/>
    <s v="OCTROI"/>
    <s v="Front"/>
    <d v="2024-05-09T00:00:00"/>
    <m/>
    <s v="39719/2023/1"/>
    <s v="4472/2024/PO/DRE/CAC/ND"/>
    <n v="3750917"/>
    <n v="2250550.1999999997"/>
    <n v="375091.7"/>
    <d v="2024-06-18T00:00:00"/>
    <s v="OK"/>
    <s v="Valide"/>
    <x v="1"/>
    <s v="KO"/>
    <s v="OK"/>
    <s v="Valide"/>
    <x v="134"/>
    <x v="134"/>
  </r>
  <r>
    <x v="135"/>
    <x v="1"/>
    <n v="66252971112"/>
    <s v="Maroc Telecom"/>
    <x v="5"/>
    <s v="77276/2023/1"/>
    <x v="0"/>
    <s v="KO"/>
    <n v="0.7"/>
    <d v="2023-03-09T00:00:00"/>
    <d v="2024-09-09T00:00:00"/>
    <s v="Réglé"/>
    <d v="2023-05-06T00:00:00"/>
    <d v="2024-01-08T00:00:00"/>
    <s v="DOUNIALI"/>
    <s v="Front"/>
    <d v="2024-06-26T00:00:00"/>
    <m/>
    <s v="48466/2023/1"/>
    <s v="1677/2024/PO/DRE/CAC/ND"/>
    <n v="5803178"/>
    <n v="3481906.8"/>
    <n v="580317.80000000005"/>
    <d v="2024-03-15T00:00:00"/>
    <s v="KO"/>
    <s v="Echue"/>
    <x v="1"/>
    <s v="KO"/>
    <s v="KO"/>
    <s v="A renouveller"/>
    <x v="135"/>
    <x v="135"/>
  </r>
  <r>
    <x v="136"/>
    <x v="1"/>
    <n v="29479918508"/>
    <s v="Ciments du Maroc"/>
    <x v="7"/>
    <s v="45528/2023/1"/>
    <x v="0"/>
    <s v="OK"/>
    <n v="0.7"/>
    <d v="2023-04-02T00:00:00"/>
    <d v="2024-10-02T00:00:00"/>
    <s v="Pas réglé"/>
    <m/>
    <m/>
    <m/>
    <m/>
    <m/>
    <m/>
    <s v="80654/2023/1"/>
    <s v="8923/2024/PO/DRE/CAC/ND"/>
    <n v="1065757"/>
    <n v="639454.19999999995"/>
    <n v="106575.70000000001"/>
    <d v="2024-07-27T00:00:00"/>
    <s v="OK"/>
    <s v="Echue"/>
    <x v="1"/>
    <s v="KO"/>
    <s v="OK"/>
    <s v="Valide"/>
    <x v="136"/>
    <x v="136"/>
  </r>
  <r>
    <x v="137"/>
    <x v="1"/>
    <n v="95348325936"/>
    <s v="Cosumar"/>
    <x v="4"/>
    <s v="44762/2023/1"/>
    <x v="0"/>
    <s v="OK"/>
    <n v="0.6"/>
    <d v="2023-12-20T00:00:00"/>
    <d v="2025-06-20T00:00:00"/>
    <s v="Réglé"/>
    <d v="2023-05-29T00:00:00"/>
    <d v="2024-02-20T00:00:00"/>
    <s v="OCTROI"/>
    <s v="Tamwilcom"/>
    <d v="2024-07-23T00:00:00"/>
    <m/>
    <s v="36448/2023/1"/>
    <s v="3044/2024/PO/DRE/CAC/ND"/>
    <n v="1963154"/>
    <n v="1177892.3999999999"/>
    <n v="196315.40000000002"/>
    <d v="2024-05-26T00:00:00"/>
    <s v="OK"/>
    <s v="Valide"/>
    <x v="1"/>
    <s v="KO"/>
    <s v="OK"/>
    <s v="A renouveller"/>
    <x v="137"/>
    <x v="137"/>
  </r>
  <r>
    <x v="138"/>
    <x v="1"/>
    <n v="84628771940"/>
    <s v="Ciments du Maroc"/>
    <x v="0"/>
    <s v="76470/2023/1"/>
    <x v="1"/>
    <s v="KO"/>
    <n v="0.6"/>
    <d v="2023-10-14T00:00:00"/>
    <d v="2025-04-14T00:00:00"/>
    <s v="Pas réglé"/>
    <m/>
    <m/>
    <m/>
    <m/>
    <m/>
    <m/>
    <s v="34732/2023/1"/>
    <s v="9954/2024/PO/DRE/CAC/ND"/>
    <n v="6130711"/>
    <n v="3678426.6"/>
    <n v="613071.1"/>
    <d v="2024-07-02T00:00:00"/>
    <s v="KO"/>
    <s v="Echue"/>
    <x v="1"/>
    <s v="KO"/>
    <s v="KO"/>
    <s v="Valide"/>
    <x v="138"/>
    <x v="138"/>
  </r>
  <r>
    <x v="139"/>
    <x v="1"/>
    <n v="64675016219"/>
    <s v="Société Générale Maroc"/>
    <x v="8"/>
    <s v="51929/2023/1"/>
    <x v="0"/>
    <s v="KO"/>
    <n v="0.6"/>
    <d v="2023-05-09T00:00:00"/>
    <d v="2024-11-09T00:00:00"/>
    <s v="Pas réglé"/>
    <m/>
    <m/>
    <m/>
    <m/>
    <m/>
    <m/>
    <s v="39752/2023/1"/>
    <s v="9906/2024/PO/DRE/CAC/ND"/>
    <n v="1857752"/>
    <n v="1114651.2"/>
    <n v="185775.2"/>
    <d v="2024-07-19T00:00:00"/>
    <s v="KO"/>
    <s v="Valide"/>
    <x v="1"/>
    <s v="KO"/>
    <s v="KO"/>
    <s v="A renouveller"/>
    <x v="139"/>
    <x v="139"/>
  </r>
  <r>
    <x v="140"/>
    <x v="1"/>
    <n v="49526075851"/>
    <s v="Maroc Telecom"/>
    <x v="8"/>
    <s v="48973/2023/1"/>
    <x v="1"/>
    <s v="OK"/>
    <n v="0.7"/>
    <d v="2023-08-20T00:00:00"/>
    <d v="2025-02-20T00:00:00"/>
    <s v="Pas réglé"/>
    <m/>
    <m/>
    <m/>
    <m/>
    <m/>
    <m/>
    <s v="93162/2023/1"/>
    <s v="4832/2024/PO/DRE/CAC/ND"/>
    <n v="1774849"/>
    <n v="1064909.3999999999"/>
    <n v="177484.90000000002"/>
    <d v="2024-01-12T00:00:00"/>
    <s v="OK"/>
    <s v="Echue"/>
    <x v="1"/>
    <s v="KO"/>
    <s v="OK"/>
    <s v="Valide"/>
    <x v="140"/>
    <x v="140"/>
  </r>
  <r>
    <x v="141"/>
    <x v="1"/>
    <n v="96740325436"/>
    <s v="Maghreb Steel"/>
    <x v="5"/>
    <s v="71442/2023/1"/>
    <x v="0"/>
    <s v="OK"/>
    <n v="0.6"/>
    <d v="2023-10-22T00:00:00"/>
    <d v="2025-04-22T00:00:00"/>
    <s v="Réglé"/>
    <d v="2023-03-17T00:00:00"/>
    <d v="2024-01-28T00:00:00"/>
    <s v="DOUNIALI"/>
    <s v="Tamwilcom"/>
    <d v="2024-12-13T00:00:00"/>
    <m/>
    <s v="57035/2023/1"/>
    <s v="1769/2024/PO/DRE/CAC/ND"/>
    <n v="3823090"/>
    <n v="2293854"/>
    <n v="382309"/>
    <d v="2024-03-06T00:00:00"/>
    <s v="OK"/>
    <s v="Echue"/>
    <x v="1"/>
    <s v="KO"/>
    <s v="OK"/>
    <s v="Valide"/>
    <x v="141"/>
    <x v="141"/>
  </r>
  <r>
    <x v="142"/>
    <x v="1"/>
    <n v="42044023696"/>
    <s v="BMCE Bank"/>
    <x v="9"/>
    <s v="52274/2023/1"/>
    <x v="0"/>
    <s v="OK"/>
    <n v="0.6"/>
    <d v="2023-08-31T00:00:00"/>
    <d v="2025-02-28T00:00:00"/>
    <s v="Réglé"/>
    <d v="2023-07-24T00:00:00"/>
    <d v="2024-08-20T00:00:00"/>
    <s v="OCTROI"/>
    <s v="Tamwilcom"/>
    <d v="2024-04-29T00:00:00"/>
    <m/>
    <s v="21328/2023/1"/>
    <s v="7020/2024/PO/DRE/CAC/ND"/>
    <n v="2730425"/>
    <n v="1638255"/>
    <n v="273042.5"/>
    <d v="2024-11-22T00:00:00"/>
    <s v="OK"/>
    <s v="Echue"/>
    <x v="1"/>
    <s v="KO"/>
    <s v="OK"/>
    <s v="A renouveller"/>
    <x v="142"/>
    <x v="142"/>
  </r>
  <r>
    <x v="143"/>
    <x v="1"/>
    <n v="43488950690"/>
    <s v="2M Atlas"/>
    <x v="1"/>
    <s v="25272/2023/1"/>
    <x v="0"/>
    <s v="KO"/>
    <n v="0.6"/>
    <d v="2023-12-12T00:00:00"/>
    <d v="2025-06-12T00:00:00"/>
    <s v="Réglé"/>
    <d v="2023-10-26T00:00:00"/>
    <d v="2024-03-29T00:00:00"/>
    <s v="DOUNIALI"/>
    <s v="Front"/>
    <d v="2024-08-17T00:00:00"/>
    <m/>
    <s v="99931/2023/1"/>
    <s v="4933/2024/PO/DRE/CAC/ND"/>
    <n v="7334304"/>
    <n v="4400582.3999999994"/>
    <n v="733430.4"/>
    <d v="2024-11-23T00:00:00"/>
    <s v="KO"/>
    <s v="Valide"/>
    <x v="1"/>
    <s v="KO"/>
    <s v="KO"/>
    <s v="Valide"/>
    <x v="143"/>
    <x v="143"/>
  </r>
  <r>
    <x v="144"/>
    <x v="1"/>
    <n v="50870500171"/>
    <s v="Société Générale Maroc"/>
    <x v="3"/>
    <s v="25589/2023/1"/>
    <x v="1"/>
    <s v="KO"/>
    <n v="0.6"/>
    <d v="2023-01-07T00:00:00"/>
    <d v="2024-07-07T00:00:00"/>
    <s v="Pas réglé"/>
    <m/>
    <m/>
    <m/>
    <m/>
    <m/>
    <m/>
    <s v="83864/2023/1"/>
    <s v="2222/2024/PO/DRE/CAC/ND"/>
    <n v="1604099"/>
    <n v="962459.39999999991"/>
    <n v="160409.90000000002"/>
    <d v="2024-07-15T00:00:00"/>
    <s v="KO"/>
    <s v="Valide"/>
    <x v="1"/>
    <s v="KO"/>
    <s v="KO"/>
    <s v="A renouveller"/>
    <x v="144"/>
    <x v="144"/>
  </r>
  <r>
    <x v="145"/>
    <x v="1"/>
    <n v="51442257767"/>
    <s v="BMCE Bank"/>
    <x v="2"/>
    <s v="37267/2023/1"/>
    <x v="0"/>
    <s v="KO"/>
    <n v="0.6"/>
    <d v="2023-03-29T00:00:00"/>
    <d v="2024-09-29T00:00:00"/>
    <s v="Réglé"/>
    <d v="2023-11-01T00:00:00"/>
    <d v="2023-09-02T00:00:00"/>
    <s v="DOUNIALI"/>
    <s v="Front"/>
    <d v="2024-02-05T00:00:00"/>
    <m/>
    <s v="55696/2023/1"/>
    <s v="1173/2024/PO/DRE/CAC/ND"/>
    <n v="8407565"/>
    <n v="5044539"/>
    <n v="840756.5"/>
    <d v="2024-10-15T00:00:00"/>
    <s v="KO"/>
    <s v="Valide"/>
    <x v="1"/>
    <s v="KO"/>
    <s v="KO"/>
    <s v="Valide"/>
    <x v="145"/>
    <x v="145"/>
  </r>
  <r>
    <x v="146"/>
    <x v="1"/>
    <n v="19746652308"/>
    <s v="Banque Populaire"/>
    <x v="3"/>
    <s v="10632/2023/1"/>
    <x v="1"/>
    <s v="OK"/>
    <n v="0.6"/>
    <d v="2023-07-15T00:00:00"/>
    <d v="2025-01-15T00:00:00"/>
    <s v="Pas réglé"/>
    <m/>
    <m/>
    <m/>
    <m/>
    <m/>
    <m/>
    <s v="85612/2023/1"/>
    <s v="3534/2024/PO/DRE/CAC/ND"/>
    <n v="2050748"/>
    <n v="1230448.8"/>
    <n v="205074.80000000002"/>
    <d v="2024-12-07T00:00:00"/>
    <s v="OK"/>
    <s v="Valide"/>
    <x v="1"/>
    <s v="KO"/>
    <s v="OK"/>
    <s v="Valide"/>
    <x v="146"/>
    <x v="146"/>
  </r>
  <r>
    <x v="147"/>
    <x v="1"/>
    <n v="74849548971"/>
    <s v="2M Atlas"/>
    <x v="3"/>
    <s v="55409/2023/1"/>
    <x v="0"/>
    <s v="OK"/>
    <n v="0.6"/>
    <d v="2023-02-09T00:00:00"/>
    <d v="2024-08-09T00:00:00"/>
    <s v="Réglé"/>
    <d v="2023-07-20T00:00:00"/>
    <d v="2023-07-25T00:00:00"/>
    <s v="DOUNIALI"/>
    <s v="Tamwilcom"/>
    <d v="2024-10-05T00:00:00"/>
    <m/>
    <s v="65989/2023/1"/>
    <s v="8465/2024/PO/DRE/CAC/ND"/>
    <n v="6582331"/>
    <n v="3949398.5999999996"/>
    <n v="658233.10000000009"/>
    <d v="2024-10-26T00:00:00"/>
    <s v="OK"/>
    <s v="Echue"/>
    <x v="1"/>
    <s v="KO"/>
    <s v="OK"/>
    <s v="A renouveller"/>
    <x v="147"/>
    <x v="147"/>
  </r>
  <r>
    <x v="148"/>
    <x v="1"/>
    <n v="13318109360"/>
    <s v="OCP Group"/>
    <x v="3"/>
    <s v="43603/2023/1"/>
    <x v="1"/>
    <s v="KO"/>
    <n v="0.6"/>
    <d v="2023-02-04T00:00:00"/>
    <d v="2024-08-04T00:00:00"/>
    <s v="Pas réglé"/>
    <m/>
    <m/>
    <m/>
    <m/>
    <m/>
    <m/>
    <s v="65502/2023/1"/>
    <s v="5939/2024/PO/DRE/CAC/ND"/>
    <n v="5048787"/>
    <n v="3029272.1999999997"/>
    <n v="504878.7"/>
    <d v="2024-06-01T00:00:00"/>
    <s v="KO"/>
    <s v="Valide"/>
    <x v="1"/>
    <s v="KO"/>
    <s v="KO"/>
    <s v="Valide"/>
    <x v="148"/>
    <x v="148"/>
  </r>
  <r>
    <x v="149"/>
    <x v="1"/>
    <n v="81738197176"/>
    <s v="Maroc Telecom"/>
    <x v="9"/>
    <s v="53496/2023/1"/>
    <x v="1"/>
    <s v="KO"/>
    <n v="0.6"/>
    <d v="2023-12-22T00:00:00"/>
    <d v="2025-06-22T00:00:00"/>
    <s v="Réglé"/>
    <d v="2023-01-03T00:00:00"/>
    <d v="2024-12-09T00:00:00"/>
    <s v="OCTROI"/>
    <s v="Front"/>
    <d v="2024-04-17T00:00:00"/>
    <m/>
    <s v="21886/2023/1"/>
    <s v="6166/2024/PO/DRE/CAC/ND"/>
    <n v="1701777"/>
    <n v="1021066.2"/>
    <n v="170177.7"/>
    <d v="2024-08-20T00:00:00"/>
    <s v="KO"/>
    <s v="Valide"/>
    <x v="1"/>
    <s v="KO"/>
    <s v="KO"/>
    <s v="A renouveller"/>
    <x v="149"/>
    <x v="149"/>
  </r>
  <r>
    <x v="150"/>
    <x v="1"/>
    <n v="86388750264"/>
    <s v="Société Générale Maroc"/>
    <x v="1"/>
    <s v="86901/2023/1"/>
    <x v="0"/>
    <s v="KO"/>
    <n v="0.7"/>
    <d v="2023-02-21T00:00:00"/>
    <d v="2024-08-21T00:00:00"/>
    <s v="Réglé"/>
    <d v="2023-07-03T00:00:00"/>
    <d v="2023-09-29T00:00:00"/>
    <s v="DOUNIALI"/>
    <s v="Front"/>
    <d v="2024-02-21T00:00:00"/>
    <m/>
    <s v="49795/2023/1"/>
    <s v="7748/2024/PO/DRE/CAC/ND"/>
    <n v="6852957"/>
    <n v="4111774.1999999997"/>
    <n v="685295.70000000007"/>
    <d v="2024-10-09T00:00:00"/>
    <s v="KO"/>
    <s v="Echue"/>
    <x v="1"/>
    <s v="KO"/>
    <s v="KO"/>
    <s v="A renouveller"/>
    <x v="150"/>
    <x v="150"/>
  </r>
  <r>
    <x v="151"/>
    <x v="1"/>
    <n v="89686608884"/>
    <s v="2M Atlas"/>
    <x v="0"/>
    <s v="46178/2023/1"/>
    <x v="0"/>
    <s v="OK"/>
    <n v="0.6"/>
    <d v="2023-02-28T00:00:00"/>
    <d v="2024-08-28T00:00:00"/>
    <s v="Réglé"/>
    <d v="2023-03-19T00:00:00"/>
    <d v="2023-04-19T00:00:00"/>
    <s v="OCTROI"/>
    <s v="Tamwilcom"/>
    <d v="2024-12-26T00:00:00"/>
    <m/>
    <s v="28378/2023/1"/>
    <s v="4070/2024/PO/DRE/CAC/ND"/>
    <n v="8324946"/>
    <n v="4994967.5999999996"/>
    <n v="832494.60000000009"/>
    <d v="2024-07-22T00:00:00"/>
    <s v="OK"/>
    <s v="Valide"/>
    <x v="1"/>
    <s v="KO"/>
    <s v="OK"/>
    <s v="A renouveller"/>
    <x v="151"/>
    <x v="151"/>
  </r>
  <r>
    <x v="152"/>
    <x v="1"/>
    <n v="96809220465"/>
    <s v="BMCE Bank"/>
    <x v="1"/>
    <s v="37156/2023/1"/>
    <x v="0"/>
    <s v="OK"/>
    <n v="0.6"/>
    <d v="2023-02-23T00:00:00"/>
    <d v="2024-08-23T00:00:00"/>
    <s v="Réglé"/>
    <d v="2023-11-19T00:00:00"/>
    <d v="2023-10-15T00:00:00"/>
    <s v="DOUNIALI"/>
    <s v="Front"/>
    <d v="2024-08-15T00:00:00"/>
    <m/>
    <s v="22508/2023/1"/>
    <s v="9465/2024/PO/DRE/CAC/ND"/>
    <n v="9270346"/>
    <n v="5562207.5999999996"/>
    <n v="927034.60000000009"/>
    <d v="2024-08-15T00:00:00"/>
    <s v="OK"/>
    <s v="Valide"/>
    <x v="1"/>
    <s v="KO"/>
    <s v="OK"/>
    <s v="A renouveller"/>
    <x v="152"/>
    <x v="152"/>
  </r>
  <r>
    <x v="153"/>
    <x v="1"/>
    <n v="84229915818"/>
    <s v="BMCE Bank"/>
    <x v="0"/>
    <s v="95134/2023/1"/>
    <x v="0"/>
    <s v="OK"/>
    <n v="0.6"/>
    <d v="2023-05-01T00:00:00"/>
    <d v="2024-11-01T00:00:00"/>
    <s v="Pas réglé"/>
    <m/>
    <m/>
    <m/>
    <m/>
    <m/>
    <m/>
    <s v="92806/2023/1"/>
    <s v="7510/2024/PO/DRE/CAC/ND"/>
    <n v="2024430"/>
    <n v="1214658"/>
    <n v="202443"/>
    <d v="2024-03-02T00:00:00"/>
    <s v="OK"/>
    <s v="Echue"/>
    <x v="1"/>
    <s v="KO"/>
    <s v="OK"/>
    <s v="A renouveller"/>
    <x v="153"/>
    <x v="153"/>
  </r>
  <r>
    <x v="154"/>
    <x v="1"/>
    <n v="24048386731"/>
    <s v="Ciments du Maroc"/>
    <x v="3"/>
    <s v="73351/2023/1"/>
    <x v="0"/>
    <s v="KO"/>
    <n v="0.6"/>
    <d v="2023-12-06T00:00:00"/>
    <d v="2025-06-06T00:00:00"/>
    <s v="Pas réglé"/>
    <m/>
    <m/>
    <m/>
    <m/>
    <m/>
    <m/>
    <s v="93781/2023/1"/>
    <s v="3705/2024/PO/DRE/CAC/ND"/>
    <n v="8743105"/>
    <n v="5245863"/>
    <n v="874310.5"/>
    <d v="2024-06-13T00:00:00"/>
    <s v="KO"/>
    <s v="Valide"/>
    <x v="1"/>
    <s v="KO"/>
    <s v="KO"/>
    <s v="A renouveller"/>
    <x v="154"/>
    <x v="154"/>
  </r>
  <r>
    <x v="155"/>
    <x v="1"/>
    <n v="64954592304"/>
    <s v="Managem"/>
    <x v="4"/>
    <s v="49348/2023/1"/>
    <x v="1"/>
    <s v="KO"/>
    <n v="0.7"/>
    <d v="2023-05-11T00:00:00"/>
    <d v="2024-11-11T00:00:00"/>
    <s v="Réglé"/>
    <d v="2023-03-27T00:00:00"/>
    <d v="2023-06-16T00:00:00"/>
    <s v="DOUNIALI"/>
    <s v="Front"/>
    <d v="2024-10-12T00:00:00"/>
    <m/>
    <s v="98070/2023/1"/>
    <s v="3176/2024/PO/DRE/CAC/ND"/>
    <n v="7028326"/>
    <n v="4216995.5999999996"/>
    <n v="702832.60000000009"/>
    <d v="2024-05-12T00:00:00"/>
    <s v="KO"/>
    <s v="Valide"/>
    <x v="1"/>
    <s v="KO"/>
    <s v="KO"/>
    <s v="A renouveller"/>
    <x v="155"/>
    <x v="155"/>
  </r>
  <r>
    <x v="156"/>
    <x v="1"/>
    <n v="77452703322"/>
    <s v="Banque Populaire"/>
    <x v="4"/>
    <s v="35026/2023/1"/>
    <x v="0"/>
    <s v="OK"/>
    <n v="0.6"/>
    <d v="2023-11-10T00:00:00"/>
    <d v="2025-05-10T00:00:00"/>
    <s v="Réglé"/>
    <d v="2023-05-03T00:00:00"/>
    <d v="2024-08-02T00:00:00"/>
    <s v="OCTROI"/>
    <s v="Tamwilcom"/>
    <d v="2024-08-16T00:00:00"/>
    <m/>
    <s v="19467/2023/1"/>
    <s v="6898/2024/PO/DRE/CAC/ND"/>
    <n v="8811839"/>
    <n v="5287103.3999999994"/>
    <n v="881183.9"/>
    <d v="2024-08-30T00:00:00"/>
    <s v="OK"/>
    <s v="Valide"/>
    <x v="1"/>
    <s v="KO"/>
    <s v="OK"/>
    <s v="Valide"/>
    <x v="156"/>
    <x v="156"/>
  </r>
  <r>
    <x v="157"/>
    <x v="1"/>
    <n v="29739899333"/>
    <s v="2M Atlas"/>
    <x v="5"/>
    <s v="38462/2023/1"/>
    <x v="1"/>
    <s v="OK"/>
    <n v="0.7"/>
    <d v="2023-11-17T00:00:00"/>
    <d v="2025-05-17T00:00:00"/>
    <s v="Pas réglé"/>
    <m/>
    <m/>
    <m/>
    <m/>
    <m/>
    <m/>
    <s v="23345/2023/1"/>
    <s v="6834/2024/PO/DRE/CAC/ND"/>
    <n v="1357902"/>
    <n v="814741.2"/>
    <n v="135790.20000000001"/>
    <d v="2024-09-21T00:00:00"/>
    <s v="OK"/>
    <s v="Valide"/>
    <x v="1"/>
    <s v="KO"/>
    <s v="OK"/>
    <s v="A renouveller"/>
    <x v="157"/>
    <x v="157"/>
  </r>
  <r>
    <x v="158"/>
    <x v="1"/>
    <n v="75577561673"/>
    <s v="OCP Group"/>
    <x v="6"/>
    <s v="36158/2023/1"/>
    <x v="0"/>
    <s v="KO"/>
    <n v="0.5"/>
    <d v="2023-02-05T00:00:00"/>
    <d v="2024-08-05T00:00:00"/>
    <s v="Pas réglé"/>
    <m/>
    <m/>
    <m/>
    <m/>
    <m/>
    <m/>
    <s v="19108/2023/1"/>
    <s v="9167/2024/PO/DRE/CAC/ND"/>
    <n v="3791486"/>
    <n v="2274891.6"/>
    <n v="379148.60000000003"/>
    <d v="2024-06-06T00:00:00"/>
    <s v="KO"/>
    <s v="Echue"/>
    <x v="1"/>
    <s v="KO"/>
    <s v="KO"/>
    <s v="Valide"/>
    <x v="158"/>
    <x v="158"/>
  </r>
  <r>
    <x v="159"/>
    <x v="1"/>
    <n v="44634807898"/>
    <s v="Ciments du Maroc"/>
    <x v="2"/>
    <s v="36099/2023/1"/>
    <x v="0"/>
    <s v="OK"/>
    <n v="0.6"/>
    <d v="2023-01-17T00:00:00"/>
    <d v="2024-07-17T00:00:00"/>
    <s v="Réglé"/>
    <d v="2023-02-17T00:00:00"/>
    <d v="2023-11-14T00:00:00"/>
    <s v="OCTROI"/>
    <s v="Tamwilcom"/>
    <d v="2024-06-02T00:00:00"/>
    <m/>
    <s v="66888/2023/1"/>
    <s v="2661/2024/PO/DRE/CAC/ND"/>
    <n v="7782146"/>
    <n v="4669287.5999999996"/>
    <n v="778214.60000000009"/>
    <d v="2024-09-30T00:00:00"/>
    <s v="OK"/>
    <s v="Valide"/>
    <x v="1"/>
    <s v="KO"/>
    <s v="OK"/>
    <s v="Valide"/>
    <x v="159"/>
    <x v="159"/>
  </r>
  <r>
    <x v="160"/>
    <x v="1"/>
    <n v="37547335349"/>
    <s v="2M Atlas"/>
    <x v="5"/>
    <s v="31172/2023/1"/>
    <x v="1"/>
    <s v="KO"/>
    <n v="0.6"/>
    <d v="2023-10-08T00:00:00"/>
    <d v="2025-04-08T00:00:00"/>
    <s v="Pas réglé"/>
    <m/>
    <m/>
    <m/>
    <m/>
    <m/>
    <m/>
    <s v="59102/2023/1"/>
    <s v="5032/2024/PO/DRE/CAC/ND"/>
    <n v="8871290"/>
    <n v="5322774"/>
    <n v="887129"/>
    <d v="2024-06-16T00:00:00"/>
    <s v="KO"/>
    <s v="Valide"/>
    <x v="1"/>
    <s v="KO"/>
    <s v="KO"/>
    <s v="A renouveller"/>
    <x v="160"/>
    <x v="160"/>
  </r>
  <r>
    <x v="161"/>
    <x v="1"/>
    <n v="83918702394"/>
    <s v="Managem"/>
    <x v="7"/>
    <s v="32879/2023/1"/>
    <x v="1"/>
    <s v="OK"/>
    <n v="0.6"/>
    <d v="2023-11-03T00:00:00"/>
    <d v="2025-05-03T00:00:00"/>
    <s v="Pas réglé"/>
    <m/>
    <m/>
    <m/>
    <m/>
    <m/>
    <m/>
    <s v="90264/2023/1"/>
    <s v="2144/2024/PO/DRE/CAC/ND"/>
    <n v="5305522"/>
    <n v="3183313.1999999997"/>
    <n v="530552.20000000007"/>
    <d v="2024-07-14T00:00:00"/>
    <s v="OK"/>
    <s v="Valide"/>
    <x v="1"/>
    <s v="KO"/>
    <s v="OK"/>
    <s v="Valide"/>
    <x v="161"/>
    <x v="161"/>
  </r>
  <r>
    <x v="162"/>
    <x v="1"/>
    <n v="18646766759"/>
    <s v="BMCE Bank"/>
    <x v="0"/>
    <s v="41470/2023/1"/>
    <x v="0"/>
    <s v="OK"/>
    <n v="0.6"/>
    <d v="2023-06-20T00:00:00"/>
    <d v="2024-12-20T00:00:00"/>
    <s v="Réglé"/>
    <d v="2023-10-09T00:00:00"/>
    <d v="2024-06-07T00:00:00"/>
    <s v="DOUNIALI"/>
    <s v="Front"/>
    <d v="2024-01-02T00:00:00"/>
    <m/>
    <s v="35105/2023/1"/>
    <s v="4543/2024/PO/DRE/CAC/ND"/>
    <n v="8632596"/>
    <n v="5179557.5999999996"/>
    <n v="863259.60000000009"/>
    <d v="2024-04-23T00:00:00"/>
    <s v="OK"/>
    <s v="Valide"/>
    <x v="1"/>
    <s v="OK"/>
    <s v="OK"/>
    <s v="A renouveller"/>
    <x v="162"/>
    <x v="162"/>
  </r>
  <r>
    <x v="163"/>
    <x v="1"/>
    <n v="87811472283"/>
    <s v="Maghreb Steel"/>
    <x v="0"/>
    <s v="26442/2023/1"/>
    <x v="1"/>
    <s v="OK"/>
    <n v="0.7"/>
    <d v="2023-11-29T00:00:00"/>
    <d v="2025-05-29T00:00:00"/>
    <s v="Réglé"/>
    <d v="2023-05-27T00:00:00"/>
    <d v="2024-10-22T00:00:00"/>
    <s v="OCTROI"/>
    <s v="Front"/>
    <d v="2024-11-12T00:00:00"/>
    <m/>
    <s v="93155/2023/1"/>
    <s v="8374/2024/PO/DRE/CAC/ND"/>
    <n v="8467047"/>
    <n v="5080228.2"/>
    <n v="846704.70000000007"/>
    <d v="2024-08-14T00:00:00"/>
    <s v="OK"/>
    <s v="Valide"/>
    <x v="1"/>
    <s v="OK"/>
    <s v="OK"/>
    <s v="A renouveller"/>
    <x v="163"/>
    <x v="163"/>
  </r>
  <r>
    <x v="164"/>
    <x v="1"/>
    <n v="57699108057"/>
    <s v="Ciments du Maroc"/>
    <x v="2"/>
    <s v="69527/2023/1"/>
    <x v="0"/>
    <s v="KO"/>
    <n v="0.6"/>
    <d v="2023-03-09T00:00:00"/>
    <d v="2024-09-09T00:00:00"/>
    <s v="Pas réglé"/>
    <m/>
    <m/>
    <m/>
    <m/>
    <m/>
    <m/>
    <s v="98134/2023/1"/>
    <s v="2754/2024/PO/DRE/CAC/ND"/>
    <n v="1748705"/>
    <n v="1049223"/>
    <n v="174870.5"/>
    <d v="2024-03-30T00:00:00"/>
    <s v="KO"/>
    <s v="Valide"/>
    <x v="1"/>
    <s v="KO"/>
    <s v="KO"/>
    <s v="A renouveller"/>
    <x v="164"/>
    <x v="164"/>
  </r>
  <r>
    <x v="165"/>
    <x v="1"/>
    <n v="68902226425"/>
    <s v="2M Atlas"/>
    <x v="6"/>
    <s v="24311/2023/1"/>
    <x v="1"/>
    <s v="OK"/>
    <n v="0.6"/>
    <d v="2023-02-13T00:00:00"/>
    <d v="2024-08-13T00:00:00"/>
    <s v="Pas réglé"/>
    <m/>
    <m/>
    <m/>
    <m/>
    <m/>
    <m/>
    <s v="22620/2023/1"/>
    <s v="7220/2024/PO/DRE/CAC/ND"/>
    <n v="3245984"/>
    <n v="1947590.4"/>
    <n v="324598.40000000002"/>
    <d v="2024-04-12T00:00:00"/>
    <s v="OK"/>
    <s v="Valide"/>
    <x v="1"/>
    <s v="KO"/>
    <s v="OK"/>
    <s v="A renouveller"/>
    <x v="165"/>
    <x v="165"/>
  </r>
  <r>
    <x v="166"/>
    <x v="1"/>
    <n v="78829885788"/>
    <s v="Cosumar"/>
    <x v="1"/>
    <s v="14829/2023/1"/>
    <x v="1"/>
    <s v="OK"/>
    <n v="0.6"/>
    <d v="2023-07-10T00:00:00"/>
    <d v="2025-01-10T00:00:00"/>
    <s v="Pas réglé"/>
    <m/>
    <m/>
    <m/>
    <m/>
    <m/>
    <m/>
    <s v="14906/2023/1"/>
    <s v="5230/2024/PO/DRE/CAC/ND"/>
    <n v="8961179"/>
    <n v="5376707.3999999994"/>
    <n v="896117.9"/>
    <d v="2024-07-05T00:00:00"/>
    <s v="OK"/>
    <s v="Echue"/>
    <x v="1"/>
    <s v="KO"/>
    <s v="OK"/>
    <s v="A renouveller"/>
    <x v="166"/>
    <x v="166"/>
  </r>
  <r>
    <x v="167"/>
    <x v="1"/>
    <n v="55042640370"/>
    <s v="OCP Group"/>
    <x v="9"/>
    <s v="35988/2023/1"/>
    <x v="1"/>
    <s v="OK"/>
    <n v="0.5"/>
    <d v="2023-02-16T00:00:00"/>
    <d v="2024-08-16T00:00:00"/>
    <s v="Pas réglé"/>
    <m/>
    <m/>
    <m/>
    <m/>
    <m/>
    <m/>
    <s v="20210/2023/1"/>
    <s v="9909/2024/PO/DRE/CAC/ND"/>
    <n v="8322326"/>
    <n v="4993395.5999999996"/>
    <n v="832232.60000000009"/>
    <d v="2024-03-11T00:00:00"/>
    <s v="OK"/>
    <s v="Valide"/>
    <x v="1"/>
    <s v="KO"/>
    <s v="OK"/>
    <s v="A renouveller"/>
    <x v="167"/>
    <x v="167"/>
  </r>
  <r>
    <x v="168"/>
    <x v="1"/>
    <n v="51784170707"/>
    <s v="Managem"/>
    <x v="5"/>
    <s v="38915/2023/1"/>
    <x v="1"/>
    <s v="KO"/>
    <n v="0.6"/>
    <d v="2023-08-06T00:00:00"/>
    <d v="2025-02-06T00:00:00"/>
    <s v="Réglé"/>
    <d v="2023-01-07T00:00:00"/>
    <d v="2024-03-28T00:00:00"/>
    <s v="DOUNIALI"/>
    <s v="Front"/>
    <d v="2024-10-08T00:00:00"/>
    <m/>
    <s v="47394/2023/1"/>
    <s v="6821/2024/PO/DRE/CAC/ND"/>
    <n v="8238586"/>
    <n v="4943151.5999999996"/>
    <n v="823858.60000000009"/>
    <d v="2024-09-19T00:00:00"/>
    <s v="KO"/>
    <s v="Valide"/>
    <x v="1"/>
    <s v="KO"/>
    <s v="KO"/>
    <s v="Valide"/>
    <x v="168"/>
    <x v="168"/>
  </r>
  <r>
    <x v="169"/>
    <x v="1"/>
    <n v="29808358608"/>
    <s v="Managem"/>
    <x v="6"/>
    <s v="43461/2023/1"/>
    <x v="0"/>
    <s v="KO"/>
    <n v="0.6"/>
    <d v="2023-07-15T00:00:00"/>
    <d v="2025-01-15T00:00:00"/>
    <s v="Réglé"/>
    <d v="2023-01-11T00:00:00"/>
    <d v="2024-01-19T00:00:00"/>
    <s v="DOUNIALI"/>
    <s v="Front"/>
    <d v="2024-03-22T00:00:00"/>
    <m/>
    <s v="93208/2023/1"/>
    <s v="8131/2024/PO/DRE/CAC/ND"/>
    <n v="8012403"/>
    <n v="4807441.8"/>
    <n v="801240.3"/>
    <d v="2024-02-29T00:00:00"/>
    <s v="KO"/>
    <s v="Echue"/>
    <x v="1"/>
    <s v="KO"/>
    <s v="KO"/>
    <s v="A renouveller"/>
    <x v="169"/>
    <x v="169"/>
  </r>
  <r>
    <x v="170"/>
    <x v="1"/>
    <n v="27828784074"/>
    <s v="Ciments du Maroc"/>
    <x v="2"/>
    <s v="77052/2023/1"/>
    <x v="1"/>
    <s v="KO"/>
    <n v="0.7"/>
    <d v="2023-11-01T00:00:00"/>
    <d v="2025-05-01T00:00:00"/>
    <s v="Réglé"/>
    <d v="2023-12-24T00:00:00"/>
    <d v="2024-02-22T00:00:00"/>
    <s v="OCTROI"/>
    <s v="Tamwilcom"/>
    <d v="2024-09-29T00:00:00"/>
    <m/>
    <s v="18288/2023/1"/>
    <s v="2382/2024/PO/DRE/CAC/ND"/>
    <n v="8503685"/>
    <n v="5102211"/>
    <n v="850368.5"/>
    <d v="2024-06-09T00:00:00"/>
    <s v="KO"/>
    <s v="Echue"/>
    <x v="1"/>
    <s v="OK"/>
    <s v="KO"/>
    <s v="Valide"/>
    <x v="170"/>
    <x v="170"/>
  </r>
  <r>
    <x v="171"/>
    <x v="1"/>
    <n v="57479845257"/>
    <s v="OCP Group"/>
    <x v="4"/>
    <s v="30073/2023/1"/>
    <x v="0"/>
    <s v="KO"/>
    <n v="0.6"/>
    <d v="2023-05-09T00:00:00"/>
    <d v="2024-11-09T00:00:00"/>
    <s v="Réglé"/>
    <d v="2023-07-09T00:00:00"/>
    <d v="2024-04-15T00:00:00"/>
    <s v="DOUNIALI"/>
    <s v="Tamwilcom"/>
    <d v="2024-02-03T00:00:00"/>
    <m/>
    <s v="50646/2023/1"/>
    <s v="1382/2024/PO/DRE/CAC/ND"/>
    <n v="1281728"/>
    <n v="769036.79999999993"/>
    <n v="128172.8"/>
    <d v="2024-06-26T00:00:00"/>
    <s v="KO"/>
    <s v="Echue"/>
    <x v="1"/>
    <s v="OK"/>
    <s v="KO"/>
    <s v="Valide"/>
    <x v="171"/>
    <x v="171"/>
  </r>
  <r>
    <x v="172"/>
    <x v="1"/>
    <n v="71938131064"/>
    <s v="Cosumar"/>
    <x v="4"/>
    <s v="72436/2023/1"/>
    <x v="1"/>
    <s v="OK"/>
    <n v="0.5"/>
    <d v="2023-03-08T00:00:00"/>
    <d v="2024-09-08T00:00:00"/>
    <s v="Réglé"/>
    <d v="2023-03-26T00:00:00"/>
    <d v="2023-11-14T00:00:00"/>
    <s v="OCTROI"/>
    <s v="Tamwilcom"/>
    <d v="2024-09-21T00:00:00"/>
    <m/>
    <s v="86518/2023/1"/>
    <s v="1099/2024/PO/DRE/CAC/ND"/>
    <n v="3743782"/>
    <n v="2246269.1999999997"/>
    <n v="374378.2"/>
    <d v="2024-06-10T00:00:00"/>
    <s v="OK"/>
    <s v="Echue"/>
    <x v="1"/>
    <s v="OK"/>
    <s v="OK"/>
    <s v="A renouveller"/>
    <x v="172"/>
    <x v="172"/>
  </r>
  <r>
    <x v="173"/>
    <x v="1"/>
    <n v="33277235704"/>
    <s v="Société Générale Maroc"/>
    <x v="7"/>
    <s v="30653/2023/1"/>
    <x v="1"/>
    <s v="OK"/>
    <n v="0.5"/>
    <d v="2023-05-04T00:00:00"/>
    <d v="2024-11-04T00:00:00"/>
    <s v="Réglé"/>
    <d v="2023-09-20T00:00:00"/>
    <d v="2023-05-23T00:00:00"/>
    <s v="DOUNIALI"/>
    <s v="Tamwilcom"/>
    <d v="2024-02-16T00:00:00"/>
    <m/>
    <s v="46433/2023/1"/>
    <s v="4471/2024/PO/DRE/CAC/ND"/>
    <n v="7940857"/>
    <n v="4764514.2"/>
    <n v="794085.70000000007"/>
    <d v="2024-08-29T00:00:00"/>
    <s v="OK"/>
    <s v="Echue"/>
    <x v="0"/>
    <s v="OK"/>
    <s v="OK"/>
    <s v="Valide"/>
    <x v="173"/>
    <x v="173"/>
  </r>
  <r>
    <x v="174"/>
    <x v="1"/>
    <n v="26966297709"/>
    <s v="Maroc Telecom"/>
    <x v="6"/>
    <s v="34362/2023/1"/>
    <x v="0"/>
    <s v="OK"/>
    <n v="0.6"/>
    <d v="2023-10-18T00:00:00"/>
    <d v="2025-04-18T00:00:00"/>
    <s v="Pas réglé"/>
    <m/>
    <m/>
    <m/>
    <m/>
    <m/>
    <m/>
    <s v="74175/2023/1"/>
    <s v="8010/2024/PO/DRE/CAC/ND"/>
    <n v="9364516"/>
    <n v="5618709.5999999996"/>
    <n v="936451.60000000009"/>
    <d v="2024-05-31T00:00:00"/>
    <s v="OK"/>
    <s v="Valide"/>
    <x v="1"/>
    <s v="OK"/>
    <s v="OK"/>
    <s v="A renouveller"/>
    <x v="174"/>
    <x v="174"/>
  </r>
  <r>
    <x v="175"/>
    <x v="1"/>
    <n v="76962748227"/>
    <s v="Maroc Telecom"/>
    <x v="8"/>
    <s v="18664/2023/1"/>
    <x v="0"/>
    <s v="KO"/>
    <n v="0.7"/>
    <d v="2023-06-30T00:00:00"/>
    <d v="2024-12-30T00:00:00"/>
    <s v="Réglé"/>
    <d v="2023-06-23T00:00:00"/>
    <d v="2024-02-04T00:00:00"/>
    <s v="OCTROI"/>
    <s v="Tamwilcom"/>
    <d v="2024-06-05T00:00:00"/>
    <m/>
    <s v="91382/2023/1"/>
    <s v="5963/2024/PO/DRE/CAC/ND"/>
    <n v="9292298"/>
    <n v="5575378.7999999998"/>
    <n v="929229.8"/>
    <d v="2024-05-26T00:00:00"/>
    <s v="KO"/>
    <s v="Echue"/>
    <x v="0"/>
    <s v="OK"/>
    <s v="KO"/>
    <s v="Valide"/>
    <x v="175"/>
    <x v="175"/>
  </r>
  <r>
    <x v="176"/>
    <x v="1"/>
    <n v="98905244390"/>
    <s v="OCP Group"/>
    <x v="9"/>
    <s v="62184/2023/1"/>
    <x v="0"/>
    <s v="OK"/>
    <n v="0.6"/>
    <d v="2023-11-27T00:00:00"/>
    <d v="2025-05-27T00:00:00"/>
    <s v="Pas réglé"/>
    <m/>
    <m/>
    <m/>
    <m/>
    <m/>
    <m/>
    <s v="49527/2023/1"/>
    <s v="4993/2024/PO/DRE/CAC/ND"/>
    <n v="4889701"/>
    <n v="2933820.6"/>
    <n v="488970.10000000003"/>
    <d v="2024-11-27T00:00:00"/>
    <s v="OK"/>
    <s v="Echue"/>
    <x v="0"/>
    <s v="OK"/>
    <s v="OK"/>
    <s v="Valide"/>
    <x v="176"/>
    <x v="176"/>
  </r>
  <r>
    <x v="177"/>
    <x v="1"/>
    <n v="76520253972"/>
    <s v="Managem"/>
    <x v="0"/>
    <s v="22721/2023/1"/>
    <x v="1"/>
    <s v="KO"/>
    <n v="0.5"/>
    <d v="2023-05-09T00:00:00"/>
    <d v="2024-11-09T00:00:00"/>
    <s v="Pas réglé"/>
    <m/>
    <m/>
    <m/>
    <m/>
    <m/>
    <m/>
    <s v="19135/2023/1"/>
    <s v="9081/2024/PO/DRE/CAC/ND"/>
    <n v="7236410"/>
    <n v="4341846"/>
    <n v="723641"/>
    <d v="2024-05-26T00:00:00"/>
    <s v="KO"/>
    <s v="Valide"/>
    <x v="1"/>
    <s v="KO"/>
    <s v="KO"/>
    <s v="Valide"/>
    <x v="177"/>
    <x v="177"/>
  </r>
  <r>
    <x v="178"/>
    <x v="1"/>
    <n v="85840459488"/>
    <s v="BMCE Bank"/>
    <x v="9"/>
    <s v="27961/2023/1"/>
    <x v="1"/>
    <s v="OK"/>
    <n v="0.5"/>
    <d v="2023-09-12T00:00:00"/>
    <d v="2025-03-12T00:00:00"/>
    <s v="Réglé"/>
    <d v="2023-05-15T00:00:00"/>
    <d v="2024-06-27T00:00:00"/>
    <s v="OCTROI"/>
    <s v="Tamwilcom"/>
    <d v="2024-05-06T00:00:00"/>
    <m/>
    <s v="95954/2023/1"/>
    <s v="8055/2024/PO/DRE/CAC/ND"/>
    <n v="6777557"/>
    <n v="4066534.1999999997"/>
    <n v="677755.70000000007"/>
    <d v="2024-03-25T00:00:00"/>
    <s v="OK"/>
    <s v="Valide"/>
    <x v="1"/>
    <s v="KO"/>
    <s v="OK"/>
    <s v="Valide"/>
    <x v="178"/>
    <x v="178"/>
  </r>
  <r>
    <x v="179"/>
    <x v="1"/>
    <n v="32725101990"/>
    <s v="Société Générale Maroc"/>
    <x v="1"/>
    <s v="73163/2023/1"/>
    <x v="0"/>
    <s v="KO"/>
    <n v="0.6"/>
    <d v="2023-08-15T00:00:00"/>
    <d v="2025-02-15T00:00:00"/>
    <s v="Réglé"/>
    <d v="2023-09-07T00:00:00"/>
    <d v="2023-12-01T00:00:00"/>
    <s v="DOUNIALI"/>
    <s v="Tamwilcom"/>
    <d v="2024-05-11T00:00:00"/>
    <m/>
    <s v="58541/2023/1"/>
    <s v="6162/2024/PO/DRE/CAC/ND"/>
    <n v="6500595"/>
    <n v="3900357"/>
    <n v="650059.5"/>
    <d v="2024-04-06T00:00:00"/>
    <s v="KO"/>
    <s v="Echue"/>
    <x v="0"/>
    <s v="OK"/>
    <s v="KO"/>
    <s v="Valide"/>
    <x v="179"/>
    <x v="179"/>
  </r>
  <r>
    <x v="180"/>
    <x v="1"/>
    <n v="45092654137"/>
    <s v="2M Atlas"/>
    <x v="6"/>
    <s v="90024/2023/1"/>
    <x v="1"/>
    <s v="KO"/>
    <n v="0.7"/>
    <d v="2023-12-19T00:00:00"/>
    <d v="2025-06-19T00:00:00"/>
    <s v="Réglé"/>
    <d v="2023-09-14T00:00:00"/>
    <d v="2024-09-13T00:00:00"/>
    <s v="DOUNIALI"/>
    <s v="Front"/>
    <d v="2024-11-22T00:00:00"/>
    <m/>
    <s v="64342/2023/1"/>
    <s v="4864/2024/PO/DRE/CAC/ND"/>
    <n v="7152041"/>
    <n v="4291224.5999999996"/>
    <n v="715204.10000000009"/>
    <d v="2024-12-01T00:00:00"/>
    <s v="KO"/>
    <s v="Valide"/>
    <x v="1"/>
    <s v="KO"/>
    <s v="KO"/>
    <s v="Valide"/>
    <x v="180"/>
    <x v="180"/>
  </r>
  <r>
    <x v="181"/>
    <x v="1"/>
    <n v="43597296542"/>
    <s v="Banque Populaire"/>
    <x v="8"/>
    <s v="24950/2023/1"/>
    <x v="1"/>
    <s v="KO"/>
    <n v="0.7"/>
    <d v="2023-01-31T00:00:00"/>
    <d v="2024-07-31T00:00:00"/>
    <s v="Réglé"/>
    <d v="2023-11-12T00:00:00"/>
    <d v="2023-05-28T00:00:00"/>
    <s v="DOUNIALI"/>
    <s v="Tamwilcom"/>
    <d v="2024-02-15T00:00:00"/>
    <m/>
    <s v="92600/2023/1"/>
    <s v="4821/2024/PO/DRE/CAC/ND"/>
    <n v="1715224"/>
    <n v="1029134.3999999999"/>
    <n v="171522.40000000002"/>
    <d v="2024-01-19T00:00:00"/>
    <s v="KO"/>
    <s v="Echue"/>
    <x v="0"/>
    <s v="OK"/>
    <s v="KO"/>
    <s v="Valide"/>
    <x v="181"/>
    <x v="181"/>
  </r>
  <r>
    <x v="182"/>
    <x v="1"/>
    <n v="53866412547"/>
    <s v="Managem"/>
    <x v="2"/>
    <s v="49583/2023/1"/>
    <x v="1"/>
    <s v="KO"/>
    <n v="0.6"/>
    <d v="2023-02-17T00:00:00"/>
    <d v="2024-08-17T00:00:00"/>
    <s v="Réglé"/>
    <d v="2023-10-28T00:00:00"/>
    <d v="2023-10-29T00:00:00"/>
    <s v="OCTROI"/>
    <s v="Tamwilcom"/>
    <d v="2024-05-25T00:00:00"/>
    <m/>
    <s v="83857/2023/1"/>
    <s v="9543/2024/PO/DRE/CAC/ND"/>
    <n v="2554407"/>
    <n v="1532644.2"/>
    <n v="255440.7"/>
    <d v="2024-05-08T00:00:00"/>
    <s v="KO"/>
    <s v="Valide"/>
    <x v="1"/>
    <s v="OK"/>
    <s v="KO"/>
    <s v="A renouveller"/>
    <x v="182"/>
    <x v="182"/>
  </r>
  <r>
    <x v="183"/>
    <x v="1"/>
    <n v="75182667220"/>
    <s v="Cosumar"/>
    <x v="0"/>
    <s v="49455/2023/1"/>
    <x v="1"/>
    <s v="KO"/>
    <n v="0.6"/>
    <d v="2023-01-03T00:00:00"/>
    <d v="2024-07-03T00:00:00"/>
    <s v="Réglé"/>
    <d v="2023-01-07T00:00:00"/>
    <d v="2023-07-12T00:00:00"/>
    <s v="OCTROI"/>
    <s v="Front"/>
    <d v="2024-07-07T00:00:00"/>
    <m/>
    <s v="46516/2023/1"/>
    <s v="9353/2024/PO/DRE/CAC/ND"/>
    <n v="7057252"/>
    <n v="4234351.2"/>
    <n v="705725.20000000007"/>
    <d v="2024-10-14T00:00:00"/>
    <s v="KO"/>
    <s v="Echue"/>
    <x v="0"/>
    <s v="OK"/>
    <s v="KO"/>
    <s v="A renouveller"/>
    <x v="183"/>
    <x v="183"/>
  </r>
  <r>
    <x v="184"/>
    <x v="1"/>
    <n v="62321759460"/>
    <s v="Managem"/>
    <x v="7"/>
    <s v="36105/2023/1"/>
    <x v="1"/>
    <s v="KO"/>
    <n v="0.6"/>
    <d v="2023-04-23T00:00:00"/>
    <d v="2024-10-23T00:00:00"/>
    <s v="Réglé"/>
    <d v="2023-04-14T00:00:00"/>
    <d v="2024-02-20T00:00:00"/>
    <s v="OCTROI"/>
    <s v="Front"/>
    <d v="2024-03-28T00:00:00"/>
    <m/>
    <s v="33474/2023/1"/>
    <s v="5485/2024/PO/DRE/CAC/ND"/>
    <n v="4404526"/>
    <n v="2642715.6"/>
    <n v="440452.60000000003"/>
    <d v="2024-07-08T00:00:00"/>
    <s v="KO"/>
    <s v="Valide"/>
    <x v="1"/>
    <s v="OK"/>
    <s v="KO"/>
    <s v="Valide"/>
    <x v="184"/>
    <x v="184"/>
  </r>
  <r>
    <x v="185"/>
    <x v="1"/>
    <n v="12947849979"/>
    <s v="Cosumar"/>
    <x v="0"/>
    <s v="70968/2023/1"/>
    <x v="0"/>
    <s v="OK"/>
    <n v="0.6"/>
    <d v="2023-08-11T00:00:00"/>
    <d v="2025-02-11T00:00:00"/>
    <s v="Réglé"/>
    <d v="2023-04-01T00:00:00"/>
    <d v="2023-11-03T00:00:00"/>
    <s v="DOUNIALI"/>
    <s v="Front"/>
    <d v="2024-12-07T00:00:00"/>
    <m/>
    <s v="66967/2023/1"/>
    <s v="9504/2024/PO/DRE/CAC/ND"/>
    <n v="4738987"/>
    <n v="2843392.1999999997"/>
    <n v="473898.7"/>
    <d v="2024-05-14T00:00:00"/>
    <s v="OK"/>
    <s v="Echue"/>
    <x v="0"/>
    <s v="OK"/>
    <s v="OK"/>
    <s v="A renouveller"/>
    <x v="185"/>
    <x v="185"/>
  </r>
  <r>
    <x v="186"/>
    <x v="1"/>
    <n v="78106009902"/>
    <s v="Maroc Telecom"/>
    <x v="1"/>
    <s v="31795/2023/1"/>
    <x v="1"/>
    <s v="KO"/>
    <n v="0.7"/>
    <d v="2023-09-04T00:00:00"/>
    <d v="2025-03-04T00:00:00"/>
    <s v="Réglé"/>
    <d v="2023-10-21T00:00:00"/>
    <d v="2024-08-30T00:00:00"/>
    <s v="OCTROI"/>
    <s v="Front"/>
    <d v="2024-09-22T00:00:00"/>
    <m/>
    <s v="69624/2023/1"/>
    <s v="7939/2024/PO/DRE/CAC/ND"/>
    <n v="6630185"/>
    <n v="3978111"/>
    <n v="663018.5"/>
    <d v="2024-09-14T00:00:00"/>
    <s v="KO"/>
    <s v="Valide"/>
    <x v="1"/>
    <s v="OK"/>
    <s v="KO"/>
    <s v="A renouveller"/>
    <x v="186"/>
    <x v="186"/>
  </r>
  <r>
    <x v="187"/>
    <x v="1"/>
    <n v="57963492480"/>
    <s v="Ciments du Maroc"/>
    <x v="1"/>
    <s v="81883/2023/1"/>
    <x v="0"/>
    <s v="OK"/>
    <n v="0.7"/>
    <d v="2023-10-10T00:00:00"/>
    <d v="2025-04-10T00:00:00"/>
    <s v="Réglé"/>
    <d v="2023-12-25T00:00:00"/>
    <d v="2024-04-12T00:00:00"/>
    <s v="DOUNIALI"/>
    <s v="Tamwilcom"/>
    <d v="2024-11-15T00:00:00"/>
    <m/>
    <s v="70619/2023/1"/>
    <s v="7500/2024/PO/DRE/CAC/ND"/>
    <n v="2446729"/>
    <n v="1468037.4"/>
    <n v="244672.90000000002"/>
    <d v="2024-11-17T00:00:00"/>
    <s v="OK"/>
    <s v="Valide"/>
    <x v="1"/>
    <s v="OK"/>
    <s v="OK"/>
    <s v="A renouveller"/>
    <x v="187"/>
    <x v="187"/>
  </r>
  <r>
    <x v="188"/>
    <x v="1"/>
    <n v="40812499083"/>
    <s v="Maroc Telecom"/>
    <x v="9"/>
    <s v="91218/2023/1"/>
    <x v="1"/>
    <s v="OK"/>
    <n v="0.6"/>
    <d v="2023-11-05T00:00:00"/>
    <d v="2025-05-05T00:00:00"/>
    <s v="Réglé"/>
    <d v="2023-08-28T00:00:00"/>
    <d v="2023-11-22T00:00:00"/>
    <s v="DOUNIALI"/>
    <s v="Front"/>
    <d v="2024-12-14T00:00:00"/>
    <m/>
    <s v="20080/2023/1"/>
    <s v="9461/2024/PO/DRE/CAC/ND"/>
    <n v="4541453"/>
    <n v="2724871.8"/>
    <n v="454145.30000000005"/>
    <d v="2024-04-16T00:00:00"/>
    <s v="OK"/>
    <s v="Valide"/>
    <x v="1"/>
    <s v="KO"/>
    <s v="OK"/>
    <s v="A renouveller"/>
    <x v="188"/>
    <x v="188"/>
  </r>
  <r>
    <x v="189"/>
    <x v="1"/>
    <n v="27335877233"/>
    <s v="BMCE Bank"/>
    <x v="7"/>
    <s v="62059/2023/1"/>
    <x v="0"/>
    <s v="OK"/>
    <n v="0.5"/>
    <d v="2023-06-18T00:00:00"/>
    <d v="2024-12-18T00:00:00"/>
    <s v="Pas réglé"/>
    <m/>
    <m/>
    <m/>
    <m/>
    <m/>
    <m/>
    <s v="18324/2023/1"/>
    <s v="9752/2024/PO/DRE/CAC/ND"/>
    <n v="9539432"/>
    <n v="5723659.2000000002"/>
    <n v="953943.20000000007"/>
    <d v="2024-08-28T00:00:00"/>
    <s v="OK"/>
    <s v="Valide"/>
    <x v="1"/>
    <s v="OK"/>
    <s v="OK"/>
    <s v="A renouveller"/>
    <x v="189"/>
    <x v="189"/>
  </r>
  <r>
    <x v="190"/>
    <x v="1"/>
    <n v="18174753257"/>
    <s v="Maghreb Steel"/>
    <x v="4"/>
    <s v="95363/2023/1"/>
    <x v="1"/>
    <s v="KO"/>
    <n v="0.6"/>
    <d v="2023-06-26T00:00:00"/>
    <d v="2024-12-26T00:00:00"/>
    <s v="Réglé"/>
    <d v="2023-09-05T00:00:00"/>
    <d v="2024-03-30T00:00:00"/>
    <s v="OCTROI"/>
    <s v="Tamwilcom"/>
    <d v="2024-08-27T00:00:00"/>
    <m/>
    <s v="84362/2023/1"/>
    <s v="7400/2024/PO/DRE/CAC/ND"/>
    <n v="9582763"/>
    <n v="5749657.7999999998"/>
    <n v="958276.3"/>
    <d v="2024-01-04T00:00:00"/>
    <s v="KO"/>
    <s v="Valide"/>
    <x v="1"/>
    <s v="OK"/>
    <s v="KO"/>
    <s v="Valide"/>
    <x v="190"/>
    <x v="190"/>
  </r>
  <r>
    <x v="191"/>
    <x v="1"/>
    <n v="17266312660"/>
    <s v="BMCE Bank"/>
    <x v="8"/>
    <s v="94710/2023/1"/>
    <x v="0"/>
    <s v="KO"/>
    <n v="0.7"/>
    <d v="2023-10-11T00:00:00"/>
    <d v="2025-04-11T00:00:00"/>
    <s v="Pas réglé"/>
    <m/>
    <m/>
    <m/>
    <m/>
    <m/>
    <m/>
    <s v="60565/2023/1"/>
    <s v="7757/2024/PO/DRE/CAC/ND"/>
    <n v="3224127"/>
    <n v="1934476.2"/>
    <n v="322412.7"/>
    <d v="2024-07-13T00:00:00"/>
    <s v="KO"/>
    <s v="Valide"/>
    <x v="1"/>
    <s v="OK"/>
    <s v="KO"/>
    <s v="Valide"/>
    <x v="191"/>
    <x v="191"/>
  </r>
  <r>
    <x v="192"/>
    <x v="1"/>
    <n v="70567073870"/>
    <s v="Maghreb Steel"/>
    <x v="1"/>
    <s v="97551/2023/1"/>
    <x v="0"/>
    <s v="KO"/>
    <n v="0.6"/>
    <d v="2023-07-15T00:00:00"/>
    <d v="2025-01-15T00:00:00"/>
    <s v="Pas réglé"/>
    <m/>
    <m/>
    <m/>
    <m/>
    <m/>
    <m/>
    <s v="14152/2023/1"/>
    <s v="6186/2024/PO/DRE/CAC/ND"/>
    <n v="5765767"/>
    <n v="3459460.1999999997"/>
    <n v="576576.70000000007"/>
    <d v="2024-09-25T00:00:00"/>
    <s v="KO"/>
    <s v="Valide"/>
    <x v="1"/>
    <s v="KO"/>
    <s v="KO"/>
    <s v="Valide"/>
    <x v="192"/>
    <x v="192"/>
  </r>
  <r>
    <x v="193"/>
    <x v="1"/>
    <n v="81110807169"/>
    <s v="Maghreb Steel"/>
    <x v="8"/>
    <s v="38404/2023/1"/>
    <x v="1"/>
    <s v="KO"/>
    <n v="0.6"/>
    <d v="2023-02-02T00:00:00"/>
    <d v="2024-08-02T00:00:00"/>
    <s v="Pas réglé"/>
    <m/>
    <m/>
    <m/>
    <m/>
    <m/>
    <m/>
    <s v="43592/2023/1"/>
    <s v="8767/2024/PO/DRE/CAC/ND"/>
    <n v="4823276"/>
    <n v="2893965.6"/>
    <n v="482327.60000000003"/>
    <d v="2024-01-29T00:00:00"/>
    <s v="KO"/>
    <s v="Valide"/>
    <x v="1"/>
    <s v="OK"/>
    <s v="KO"/>
    <s v="A renouveller"/>
    <x v="193"/>
    <x v="193"/>
  </r>
  <r>
    <x v="194"/>
    <x v="1"/>
    <n v="35339362971"/>
    <s v="Banque Populaire"/>
    <x v="7"/>
    <s v="55575/2023/1"/>
    <x v="0"/>
    <s v="OK"/>
    <n v="0.6"/>
    <d v="2023-03-17T00:00:00"/>
    <d v="2024-09-17T00:00:00"/>
    <s v="Réglé"/>
    <d v="2023-06-30T00:00:00"/>
    <d v="2023-05-05T00:00:00"/>
    <s v="DOUNIALI"/>
    <s v="Tamwilcom"/>
    <d v="2024-05-21T00:00:00"/>
    <m/>
    <s v="99185/2023/1"/>
    <s v="2186/2024/PO/DRE/CAC/ND"/>
    <n v="2940824"/>
    <n v="1764494.4"/>
    <n v="294082.40000000002"/>
    <d v="2024-03-22T00:00:00"/>
    <s v="OK"/>
    <s v="Echue"/>
    <x v="0"/>
    <s v="OK"/>
    <s v="OK"/>
    <s v="A renouveller"/>
    <x v="194"/>
    <x v="194"/>
  </r>
  <r>
    <x v="195"/>
    <x v="1"/>
    <n v="47578003043"/>
    <s v="Maghreb Steel"/>
    <x v="3"/>
    <s v="43512/2023/1"/>
    <x v="0"/>
    <s v="KO"/>
    <n v="0.6"/>
    <d v="2023-03-31T00:00:00"/>
    <d v="2024-09-30T00:00:00"/>
    <s v="Réglé"/>
    <d v="2023-11-30T00:00:00"/>
    <d v="2023-12-12T00:00:00"/>
    <s v="OCTROI"/>
    <s v="Tamwilcom"/>
    <d v="2024-03-18T00:00:00"/>
    <m/>
    <s v="92502/2023/1"/>
    <s v="8601/2024/PO/DRE/CAC/ND"/>
    <n v="5342840"/>
    <n v="3205704"/>
    <n v="534284"/>
    <d v="2024-02-21T00:00:00"/>
    <s v="KO"/>
    <s v="Echue"/>
    <x v="0"/>
    <s v="OK"/>
    <s v="KO"/>
    <s v="A renouveller"/>
    <x v="195"/>
    <x v="195"/>
  </r>
  <r>
    <x v="196"/>
    <x v="1"/>
    <n v="91097427565"/>
    <s v="2M Atlas"/>
    <x v="9"/>
    <s v="25930/2023/1"/>
    <x v="0"/>
    <s v="OK"/>
    <n v="0.7"/>
    <d v="2023-04-20T00:00:00"/>
    <d v="2024-10-20T00:00:00"/>
    <s v="Réglé"/>
    <d v="2023-11-01T00:00:00"/>
    <d v="2023-05-21T00:00:00"/>
    <s v="DOUNIALI"/>
    <s v="Front"/>
    <d v="2024-03-17T00:00:00"/>
    <m/>
    <s v="73369/2023/1"/>
    <s v="8129/2024/PO/DRE/CAC/ND"/>
    <n v="1127103"/>
    <n v="676261.79999999993"/>
    <n v="112710.3"/>
    <d v="2024-02-05T00:00:00"/>
    <s v="OK"/>
    <s v="Valide"/>
    <x v="1"/>
    <s v="KO"/>
    <s v="OK"/>
    <s v="A renouveller"/>
    <x v="196"/>
    <x v="196"/>
  </r>
  <r>
    <x v="197"/>
    <x v="1"/>
    <n v="22281383795"/>
    <s v="Banque Populaire"/>
    <x v="2"/>
    <s v="63341/2023/1"/>
    <x v="0"/>
    <s v="OK"/>
    <n v="0.6"/>
    <d v="2023-08-04T00:00:00"/>
    <d v="2025-02-04T00:00:00"/>
    <s v="Pas réglé"/>
    <m/>
    <m/>
    <m/>
    <m/>
    <m/>
    <m/>
    <s v="44812/2023/1"/>
    <s v="9902/2024/PO/DRE/CAC/ND"/>
    <n v="2566387"/>
    <n v="1539832.2"/>
    <n v="256638.7"/>
    <d v="2024-12-01T00:00:00"/>
    <s v="OK"/>
    <s v="Echue"/>
    <x v="0"/>
    <s v="OK"/>
    <s v="OK"/>
    <s v="A renouveller"/>
    <x v="197"/>
    <x v="197"/>
  </r>
  <r>
    <x v="198"/>
    <x v="1"/>
    <n v="15682989778"/>
    <s v="Managem"/>
    <x v="3"/>
    <s v="95780/2023/1"/>
    <x v="0"/>
    <s v="OK"/>
    <n v="0.6"/>
    <d v="2023-01-02T00:00:00"/>
    <d v="2024-07-02T00:00:00"/>
    <s v="Réglé"/>
    <d v="2023-07-04T00:00:00"/>
    <d v="2023-07-10T00:00:00"/>
    <s v="OCTROI"/>
    <s v="Tamwilcom"/>
    <d v="2024-12-10T00:00:00"/>
    <m/>
    <s v="33589/2023/1"/>
    <s v="6819/2024/PO/DRE/CAC/ND"/>
    <n v="7291718"/>
    <n v="4375030.8"/>
    <n v="729171.8"/>
    <d v="2024-10-03T00:00:00"/>
    <s v="OK"/>
    <s v="Valide"/>
    <x v="1"/>
    <s v="KO"/>
    <s v="OK"/>
    <s v="A renouveller"/>
    <x v="198"/>
    <x v="198"/>
  </r>
  <r>
    <x v="199"/>
    <x v="2"/>
    <n v="28095343671"/>
    <s v="Société Générale Maroc"/>
    <x v="8"/>
    <s v="76543/2023/1"/>
    <x v="0"/>
    <s v="OK"/>
    <n v="0.6"/>
    <d v="2023-07-11T00:00:00"/>
    <d v="2025-01-11T00:00:00"/>
    <s v="Réglé"/>
    <d v="2023-06-30T00:00:00"/>
    <d v="2024-02-29T00:00:00"/>
    <s v="OCTROI"/>
    <s v="Front"/>
    <d v="2024-06-09T00:00:00"/>
    <m/>
    <s v="79372/2023/1"/>
    <s v="4482/2024/PO/DRE/CAC/ND"/>
    <n v="1243980"/>
    <n v="746388"/>
    <n v="124398"/>
    <d v="2024-04-16T00:00:00"/>
    <s v="OK"/>
    <s v="Valide"/>
    <x v="1"/>
    <s v="OK"/>
    <s v="OK"/>
    <s v="A renouveller"/>
    <x v="199"/>
    <x v="199"/>
  </r>
  <r>
    <x v="200"/>
    <x v="2"/>
    <n v="19095592294"/>
    <s v="Ciments du Maroc"/>
    <x v="1"/>
    <s v="80933/2023/1"/>
    <x v="0"/>
    <s v="OK"/>
    <n v="0.6"/>
    <d v="2023-07-22T00:00:00"/>
    <d v="2025-01-22T00:00:00"/>
    <s v="Réglé"/>
    <d v="2023-07-11T00:00:00"/>
    <d v="2024-04-20T00:00:00"/>
    <s v="OCTROI"/>
    <s v="Front"/>
    <d v="2024-11-14T00:00:00"/>
    <m/>
    <s v="98639/2023/1"/>
    <s v="1691/2024/PO/DRE/CAC/ND"/>
    <n v="2851476"/>
    <n v="1710885.5999999999"/>
    <n v="285147.60000000003"/>
    <d v="2024-03-10T00:00:00"/>
    <s v="OK"/>
    <s v="Echue"/>
    <x v="0"/>
    <s v="OK"/>
    <s v="OK"/>
    <s v="A renouveller"/>
    <x v="200"/>
    <x v="200"/>
  </r>
  <r>
    <x v="201"/>
    <x v="2"/>
    <n v="35546248357"/>
    <s v="2M Atlas"/>
    <x v="4"/>
    <s v="10365/2023/1"/>
    <x v="1"/>
    <s v="KO"/>
    <n v="0.6"/>
    <d v="2023-06-10T00:00:00"/>
    <d v="2024-12-10T00:00:00"/>
    <s v="Pas réglé"/>
    <m/>
    <m/>
    <m/>
    <m/>
    <m/>
    <m/>
    <s v="23963/2023/1"/>
    <s v="4618/2024/PO/DRE/CAC/ND"/>
    <n v="2587221"/>
    <n v="1552332.5999999999"/>
    <n v="258722.1"/>
    <d v="2024-03-24T00:00:00"/>
    <s v="KO"/>
    <s v="Echue"/>
    <x v="0"/>
    <s v="OK"/>
    <s v="KO"/>
    <s v="A renouveller"/>
    <x v="201"/>
    <x v="201"/>
  </r>
  <r>
    <x v="202"/>
    <x v="2"/>
    <n v="38614966344"/>
    <s v="Ciments du Maroc"/>
    <x v="3"/>
    <s v="23152/2023/1"/>
    <x v="1"/>
    <s v="KO"/>
    <n v="0.6"/>
    <d v="2023-08-10T00:00:00"/>
    <d v="2025-02-10T00:00:00"/>
    <s v="Réglé"/>
    <d v="2023-10-25T00:00:00"/>
    <d v="2024-07-26T00:00:00"/>
    <s v="OCTROI"/>
    <s v="Front"/>
    <d v="2024-11-24T00:00:00"/>
    <m/>
    <s v="72746/2023/1"/>
    <s v="9192/2024/PO/DRE/CAC/ND"/>
    <n v="3584779"/>
    <n v="2150867.4"/>
    <n v="358477.9"/>
    <d v="2024-10-23T00:00:00"/>
    <s v="KO"/>
    <s v="Echue"/>
    <x v="0"/>
    <s v="OK"/>
    <s v="KO"/>
    <s v="A renouveller"/>
    <x v="202"/>
    <x v="202"/>
  </r>
  <r>
    <x v="203"/>
    <x v="2"/>
    <n v="30413380883"/>
    <s v="Cosumar"/>
    <x v="1"/>
    <s v="72724/2023/1"/>
    <x v="1"/>
    <s v="OK"/>
    <n v="0.6"/>
    <d v="2023-09-20T00:00:00"/>
    <d v="2025-03-20T00:00:00"/>
    <s v="Réglé"/>
    <d v="2023-10-04T00:00:00"/>
    <d v="2024-06-25T00:00:00"/>
    <s v="OCTROI"/>
    <s v="Front"/>
    <d v="2024-09-18T00:00:00"/>
    <m/>
    <s v="22124/2023/1"/>
    <s v="5457/2024/PO/DRE/CAC/ND"/>
    <n v="9554913"/>
    <n v="5732947.7999999998"/>
    <n v="955491.3"/>
    <d v="2024-10-13T00:00:00"/>
    <s v="OK"/>
    <s v="Echue"/>
    <x v="0"/>
    <s v="KO"/>
    <s v="OK"/>
    <s v="Valide"/>
    <x v="203"/>
    <x v="203"/>
  </r>
  <r>
    <x v="204"/>
    <x v="2"/>
    <n v="61727950664"/>
    <s v="Banque Populaire"/>
    <x v="9"/>
    <s v="11017/2023/1"/>
    <x v="1"/>
    <s v="OK"/>
    <n v="0.5"/>
    <d v="2023-04-05T00:00:00"/>
    <d v="2024-10-05T00:00:00"/>
    <s v="Pas réglé"/>
    <m/>
    <m/>
    <m/>
    <m/>
    <m/>
    <m/>
    <s v="30091/2023/1"/>
    <s v="5172/2024/PO/DRE/CAC/ND"/>
    <n v="6267765"/>
    <n v="3760659"/>
    <n v="626776.5"/>
    <d v="2024-08-20T00:00:00"/>
    <s v="OK"/>
    <s v="Valide"/>
    <x v="1"/>
    <s v="KO"/>
    <s v="OK"/>
    <s v="Valide"/>
    <x v="204"/>
    <x v="204"/>
  </r>
  <r>
    <x v="205"/>
    <x v="2"/>
    <n v="97651417698"/>
    <s v="Maroc Telecom"/>
    <x v="9"/>
    <s v="69071/2023/1"/>
    <x v="1"/>
    <s v="OK"/>
    <n v="0.6"/>
    <d v="2023-12-18T00:00:00"/>
    <d v="2025-06-18T00:00:00"/>
    <s v="Pas réglé"/>
    <m/>
    <m/>
    <m/>
    <m/>
    <m/>
    <m/>
    <s v="43121/2023/1"/>
    <s v="8843/2024/PO/DRE/CAC/ND"/>
    <n v="6116162"/>
    <n v="3669697.1999999997"/>
    <n v="611616.20000000007"/>
    <d v="2024-11-18T00:00:00"/>
    <s v="OK"/>
    <s v="Valide"/>
    <x v="1"/>
    <s v="OK"/>
    <s v="OK"/>
    <s v="A renouveller"/>
    <x v="205"/>
    <x v="205"/>
  </r>
  <r>
    <x v="206"/>
    <x v="2"/>
    <n v="40342685960"/>
    <s v="Managem"/>
    <x v="8"/>
    <s v="88872/2023/1"/>
    <x v="0"/>
    <s v="KO"/>
    <n v="0.6"/>
    <d v="2023-03-25T00:00:00"/>
    <d v="2024-09-25T00:00:00"/>
    <s v="Réglé"/>
    <d v="2023-05-31T00:00:00"/>
    <d v="2024-02-20T00:00:00"/>
    <s v="DOUNIALI"/>
    <s v="Tamwilcom"/>
    <d v="2024-08-20T00:00:00"/>
    <m/>
    <s v="40758/2023/1"/>
    <s v="3729/2024/PO/DRE/CAC/ND"/>
    <n v="3186835"/>
    <n v="1912101"/>
    <n v="318683.5"/>
    <d v="2024-05-28T00:00:00"/>
    <s v="KO"/>
    <s v="Valide"/>
    <x v="1"/>
    <s v="OK"/>
    <s v="KO"/>
    <s v="Valide"/>
    <x v="206"/>
    <x v="206"/>
  </r>
  <r>
    <x v="207"/>
    <x v="2"/>
    <n v="97237704104"/>
    <s v="Société Générale Maroc"/>
    <x v="9"/>
    <s v="10713/2023/1"/>
    <x v="0"/>
    <s v="OK"/>
    <n v="0.7"/>
    <d v="2023-03-15T00:00:00"/>
    <d v="2024-09-15T00:00:00"/>
    <s v="Réglé"/>
    <d v="2023-06-26T00:00:00"/>
    <d v="2023-06-22T00:00:00"/>
    <s v="DOUNIALI"/>
    <s v="Tamwilcom"/>
    <d v="2024-05-08T00:00:00"/>
    <m/>
    <s v="56944/2023/1"/>
    <s v="8833/2024/PO/DRE/CAC/ND"/>
    <n v="6579304"/>
    <n v="3947582.4"/>
    <n v="657930.4"/>
    <d v="2024-03-30T00:00:00"/>
    <s v="OK"/>
    <s v="Echue"/>
    <x v="0"/>
    <s v="OK"/>
    <s v="OK"/>
    <s v="Valide"/>
    <x v="207"/>
    <x v="207"/>
  </r>
  <r>
    <x v="208"/>
    <x v="2"/>
    <n v="41127894653"/>
    <s v="2M Atlas"/>
    <x v="9"/>
    <s v="25029/2023/1"/>
    <x v="0"/>
    <s v="OK"/>
    <n v="0.6"/>
    <d v="2023-11-11T00:00:00"/>
    <d v="2025-05-11T00:00:00"/>
    <s v="Réglé"/>
    <d v="2023-08-20T00:00:00"/>
    <d v="2023-12-24T00:00:00"/>
    <s v="DOUNIALI"/>
    <s v="Front"/>
    <d v="2024-06-21T00:00:00"/>
    <m/>
    <s v="66397/2023/1"/>
    <s v="6484/2024/PO/DRE/CAC/ND"/>
    <n v="1614212"/>
    <n v="968527.2"/>
    <n v="161421.20000000001"/>
    <d v="2024-09-15T00:00:00"/>
    <s v="OK"/>
    <s v="Echue"/>
    <x v="0"/>
    <s v="KO"/>
    <s v="OK"/>
    <s v="A renouveller"/>
    <x v="208"/>
    <x v="208"/>
  </r>
  <r>
    <x v="209"/>
    <x v="2"/>
    <n v="62643572745"/>
    <s v="Ciments du Maroc"/>
    <x v="0"/>
    <s v="86301/2023/1"/>
    <x v="1"/>
    <s v="KO"/>
    <n v="0.6"/>
    <d v="2023-10-02T00:00:00"/>
    <d v="2025-04-02T00:00:00"/>
    <s v="Pas réglé"/>
    <m/>
    <m/>
    <m/>
    <m/>
    <m/>
    <m/>
    <s v="55806/2023/1"/>
    <s v="8696/2024/PO/DRE/CAC/ND"/>
    <n v="7752058"/>
    <n v="4651234.8"/>
    <n v="775205.8"/>
    <d v="2024-05-10T00:00:00"/>
    <s v="KO"/>
    <s v="Valide"/>
    <x v="1"/>
    <s v="OK"/>
    <s v="KO"/>
    <s v="Valide"/>
    <x v="209"/>
    <x v="209"/>
  </r>
  <r>
    <x v="210"/>
    <x v="2"/>
    <n v="21130398743"/>
    <s v="OCP Group"/>
    <x v="2"/>
    <s v="73792/2023/1"/>
    <x v="1"/>
    <s v="OK"/>
    <n v="0.6"/>
    <d v="2023-05-01T00:00:00"/>
    <d v="2024-11-01T00:00:00"/>
    <s v="Réglé"/>
    <d v="2023-06-10T00:00:00"/>
    <d v="2024-04-27T00:00:00"/>
    <s v="OCTROI"/>
    <s v="Tamwilcom"/>
    <d v="2024-08-16T00:00:00"/>
    <m/>
    <s v="92193/2023/1"/>
    <s v="6130/2024/PO/DRE/CAC/ND"/>
    <n v="6951202"/>
    <n v="4170721.1999999997"/>
    <n v="695120.20000000007"/>
    <d v="2024-08-31T00:00:00"/>
    <s v="OK"/>
    <s v="Echue"/>
    <x v="0"/>
    <s v="OK"/>
    <s v="OK"/>
    <s v="A renouveller"/>
    <x v="210"/>
    <x v="210"/>
  </r>
  <r>
    <x v="211"/>
    <x v="2"/>
    <n v="98955657358"/>
    <s v="2M Atlas"/>
    <x v="2"/>
    <s v="62549/2023/1"/>
    <x v="0"/>
    <s v="KO"/>
    <n v="0.6"/>
    <d v="2023-05-14T00:00:00"/>
    <d v="2024-11-14T00:00:00"/>
    <s v="Réglé"/>
    <d v="2023-07-28T00:00:00"/>
    <d v="2023-06-16T00:00:00"/>
    <s v="DOUNIALI"/>
    <s v="Tamwilcom"/>
    <d v="2024-10-16T00:00:00"/>
    <m/>
    <s v="13164/2023/1"/>
    <s v="8352/2024/PO/DRE/CAC/ND"/>
    <n v="9331266"/>
    <n v="5598759.5999999996"/>
    <n v="933126.60000000009"/>
    <d v="2024-11-30T00:00:00"/>
    <s v="KO"/>
    <s v="Valide"/>
    <x v="1"/>
    <s v="OK"/>
    <s v="KO"/>
    <s v="A renouveller"/>
    <x v="211"/>
    <x v="211"/>
  </r>
  <r>
    <x v="212"/>
    <x v="2"/>
    <n v="14273636562"/>
    <s v="BMCE Bank"/>
    <x v="5"/>
    <s v="76414/2023/1"/>
    <x v="0"/>
    <s v="OK"/>
    <n v="0.6"/>
    <d v="2023-04-08T00:00:00"/>
    <d v="2024-10-08T00:00:00"/>
    <s v="Réglé"/>
    <d v="2023-09-27T00:00:00"/>
    <d v="2023-12-20T00:00:00"/>
    <s v="DOUNIALI"/>
    <s v="Tamwilcom"/>
    <d v="2024-03-23T00:00:00"/>
    <m/>
    <s v="90535/2023/1"/>
    <s v="3389/2024/PO/DRE/CAC/ND"/>
    <n v="6072496"/>
    <n v="3643497.6"/>
    <n v="607249.6"/>
    <d v="2024-04-18T00:00:00"/>
    <s v="OK"/>
    <s v="Echue"/>
    <x v="0"/>
    <s v="KO"/>
    <s v="OK"/>
    <s v="Valide"/>
    <x v="212"/>
    <x v="212"/>
  </r>
  <r>
    <x v="213"/>
    <x v="2"/>
    <n v="36470532183"/>
    <s v="OCP Group"/>
    <x v="0"/>
    <s v="84758/2023/1"/>
    <x v="1"/>
    <s v="OK"/>
    <n v="0.7"/>
    <d v="2023-12-19T00:00:00"/>
    <d v="2025-06-19T00:00:00"/>
    <s v="Pas réglé"/>
    <m/>
    <m/>
    <m/>
    <m/>
    <m/>
    <m/>
    <s v="69279/2023/1"/>
    <s v="8673/2024/PO/DRE/CAC/ND"/>
    <n v="1139581"/>
    <n v="683748.6"/>
    <n v="113958.1"/>
    <d v="2024-04-01T00:00:00"/>
    <s v="OK"/>
    <s v="Echue"/>
    <x v="0"/>
    <s v="OK"/>
    <s v="OK"/>
    <s v="A renouveller"/>
    <x v="213"/>
    <x v="213"/>
  </r>
  <r>
    <x v="214"/>
    <x v="2"/>
    <n v="90212591600"/>
    <s v="Cosumar"/>
    <x v="6"/>
    <s v="36373/2023/1"/>
    <x v="0"/>
    <s v="KO"/>
    <n v="0.7"/>
    <d v="2023-10-28T00:00:00"/>
    <d v="2025-04-28T00:00:00"/>
    <s v="Réglé"/>
    <d v="2023-10-17T00:00:00"/>
    <d v="2024-03-10T00:00:00"/>
    <s v="OCTROI"/>
    <s v="Front"/>
    <d v="2024-03-19T00:00:00"/>
    <m/>
    <s v="32945/2023/1"/>
    <s v="7540/2024/PO/DRE/CAC/ND"/>
    <n v="9879357"/>
    <n v="5927614.2000000002"/>
    <n v="987935.70000000007"/>
    <d v="2024-07-20T00:00:00"/>
    <s v="KO"/>
    <s v="Echue"/>
    <x v="0"/>
    <s v="KO"/>
    <s v="KO"/>
    <s v="Valide"/>
    <x v="214"/>
    <x v="214"/>
  </r>
  <r>
    <x v="215"/>
    <x v="2"/>
    <n v="63184118880"/>
    <s v="Société Générale Maroc"/>
    <x v="4"/>
    <s v="98993/2023/1"/>
    <x v="0"/>
    <s v="KO"/>
    <n v="0.6"/>
    <d v="2023-02-22T00:00:00"/>
    <d v="2024-08-22T00:00:00"/>
    <s v="Pas réglé"/>
    <m/>
    <m/>
    <m/>
    <m/>
    <m/>
    <m/>
    <s v="63631/2023/1"/>
    <s v="1598/2024/PO/DRE/CAC/ND"/>
    <n v="5909920"/>
    <n v="3545952"/>
    <n v="590992"/>
    <d v="2024-01-14T00:00:00"/>
    <s v="KO"/>
    <s v="Valide"/>
    <x v="1"/>
    <s v="KO"/>
    <s v="KO"/>
    <s v="Valide"/>
    <x v="215"/>
    <x v="215"/>
  </r>
  <r>
    <x v="216"/>
    <x v="2"/>
    <n v="16809166189"/>
    <s v="Maroc Telecom"/>
    <x v="4"/>
    <s v="27602/2023/1"/>
    <x v="1"/>
    <s v="KO"/>
    <n v="0.7"/>
    <d v="2023-04-02T00:00:00"/>
    <d v="2024-10-02T00:00:00"/>
    <s v="Réglé"/>
    <d v="2023-06-25T00:00:00"/>
    <d v="2023-12-29T00:00:00"/>
    <s v="OCTROI"/>
    <s v="Front"/>
    <d v="2024-02-16T00:00:00"/>
    <m/>
    <s v="97680/2023/1"/>
    <s v="5137/2024/PO/DRE/CAC/ND"/>
    <n v="6713885"/>
    <n v="4028331"/>
    <n v="671388.5"/>
    <d v="2024-07-30T00:00:00"/>
    <s v="KO"/>
    <s v="Valide"/>
    <x v="1"/>
    <s v="OK"/>
    <s v="KO"/>
    <s v="A renouveller"/>
    <x v="216"/>
    <x v="216"/>
  </r>
  <r>
    <x v="217"/>
    <x v="2"/>
    <n v="11525527705"/>
    <s v="Banque Populaire"/>
    <x v="4"/>
    <s v="62607/2023/1"/>
    <x v="0"/>
    <s v="KO"/>
    <n v="0.6"/>
    <d v="2023-01-13T00:00:00"/>
    <d v="2024-07-13T00:00:00"/>
    <s v="Pas réglé"/>
    <m/>
    <m/>
    <m/>
    <m/>
    <m/>
    <m/>
    <s v="15126/2023/1"/>
    <s v="9325/2024/PO/DRE/CAC/ND"/>
    <n v="3891325"/>
    <n v="2334795"/>
    <n v="389132.5"/>
    <d v="2024-12-23T00:00:00"/>
    <s v="KO"/>
    <s v="Valide"/>
    <x v="1"/>
    <s v="KO"/>
    <s v="KO"/>
    <s v="Valide"/>
    <x v="217"/>
    <x v="217"/>
  </r>
  <r>
    <x v="218"/>
    <x v="2"/>
    <n v="84675798245"/>
    <s v="Banque Populaire"/>
    <x v="3"/>
    <s v="90862/2023/1"/>
    <x v="1"/>
    <s v="KO"/>
    <n v="0.7"/>
    <d v="2023-02-06T00:00:00"/>
    <d v="2024-08-06T00:00:00"/>
    <s v="Pas réglé"/>
    <m/>
    <m/>
    <m/>
    <m/>
    <m/>
    <m/>
    <s v="39707/2023/1"/>
    <s v="4565/2024/PO/DRE/CAC/ND"/>
    <n v="1979927"/>
    <n v="1187956.2"/>
    <n v="197992.7"/>
    <d v="2024-07-30T00:00:00"/>
    <s v="KO"/>
    <s v="Valide"/>
    <x v="1"/>
    <s v="KO"/>
    <s v="KO"/>
    <s v="A renouveller"/>
    <x v="218"/>
    <x v="218"/>
  </r>
  <r>
    <x v="219"/>
    <x v="2"/>
    <n v="69898928952"/>
    <s v="BMCE Bank"/>
    <x v="0"/>
    <s v="78682/2023/1"/>
    <x v="0"/>
    <s v="KO"/>
    <n v="0.6"/>
    <d v="2023-07-31T00:00:00"/>
    <d v="2025-01-31T00:00:00"/>
    <s v="Réglé"/>
    <d v="2023-05-16T00:00:00"/>
    <d v="2024-03-01T00:00:00"/>
    <s v="OCTROI"/>
    <s v="Tamwilcom"/>
    <d v="2024-01-26T00:00:00"/>
    <m/>
    <s v="13240/2023/1"/>
    <s v="3042/2024/PO/DRE/CAC/ND"/>
    <n v="6673115"/>
    <n v="4003869"/>
    <n v="667311.5"/>
    <d v="2024-12-22T00:00:00"/>
    <s v="KO"/>
    <s v="Valide"/>
    <x v="1"/>
    <s v="OK"/>
    <s v="KO"/>
    <s v="Valide"/>
    <x v="219"/>
    <x v="219"/>
  </r>
  <r>
    <x v="220"/>
    <x v="2"/>
    <n v="83679210521"/>
    <s v="BMCE Bank"/>
    <x v="1"/>
    <s v="50024/2023/1"/>
    <x v="1"/>
    <s v="KO"/>
    <n v="0.6"/>
    <d v="2023-02-09T00:00:00"/>
    <d v="2024-08-09T00:00:00"/>
    <s v="Réglé"/>
    <d v="2023-01-07T00:00:00"/>
    <d v="2023-03-05T00:00:00"/>
    <s v="OCTROI"/>
    <s v="Tamwilcom"/>
    <d v="2024-10-29T00:00:00"/>
    <m/>
    <s v="83407/2023/1"/>
    <s v="1024/2024/PO/DRE/CAC/ND"/>
    <n v="8361015"/>
    <n v="5016609"/>
    <n v="836101.5"/>
    <d v="2024-05-03T00:00:00"/>
    <s v="KO"/>
    <s v="Echue"/>
    <x v="0"/>
    <s v="OK"/>
    <s v="KO"/>
    <s v="Valide"/>
    <x v="220"/>
    <x v="220"/>
  </r>
  <r>
    <x v="221"/>
    <x v="2"/>
    <n v="45010114278"/>
    <s v="Cosumar"/>
    <x v="7"/>
    <s v="81196/2023/1"/>
    <x v="1"/>
    <s v="OK"/>
    <n v="0.7"/>
    <d v="2023-05-26T00:00:00"/>
    <d v="2024-11-26T00:00:00"/>
    <s v="Pas réglé"/>
    <m/>
    <m/>
    <m/>
    <m/>
    <m/>
    <m/>
    <s v="76318/2023/1"/>
    <s v="3718/2024/PO/DRE/CAC/ND"/>
    <n v="7753436"/>
    <n v="4652061.5999999996"/>
    <n v="775343.60000000009"/>
    <d v="2024-04-13T00:00:00"/>
    <s v="OK"/>
    <s v="Valide"/>
    <x v="1"/>
    <s v="KO"/>
    <s v="OK"/>
    <s v="Valide"/>
    <x v="221"/>
    <x v="221"/>
  </r>
  <r>
    <x v="222"/>
    <x v="2"/>
    <n v="36162034301"/>
    <s v="2M Atlas"/>
    <x v="8"/>
    <s v="80263/2023/1"/>
    <x v="1"/>
    <s v="OK"/>
    <n v="0.6"/>
    <d v="2023-07-02T00:00:00"/>
    <d v="2025-01-02T00:00:00"/>
    <s v="Pas réglé"/>
    <m/>
    <m/>
    <m/>
    <m/>
    <m/>
    <m/>
    <s v="64834/2023/1"/>
    <s v="3423/2024/PO/DRE/CAC/ND"/>
    <n v="1411028"/>
    <n v="846616.79999999993"/>
    <n v="141102.80000000002"/>
    <d v="2024-06-29T00:00:00"/>
    <s v="OK"/>
    <s v="Valide"/>
    <x v="1"/>
    <s v="OK"/>
    <s v="OK"/>
    <s v="Valide"/>
    <x v="222"/>
    <x v="222"/>
  </r>
  <r>
    <x v="223"/>
    <x v="2"/>
    <n v="40539599832"/>
    <s v="BMCE Bank"/>
    <x v="0"/>
    <s v="65987/2023/1"/>
    <x v="0"/>
    <s v="KO"/>
    <n v="0.7"/>
    <d v="2023-06-05T00:00:00"/>
    <d v="2024-12-05T00:00:00"/>
    <s v="Pas réglé"/>
    <m/>
    <m/>
    <m/>
    <m/>
    <m/>
    <m/>
    <s v="81383/2023/1"/>
    <s v="2640/2024/PO/DRE/CAC/ND"/>
    <n v="8930982"/>
    <n v="5358589.2"/>
    <n v="893098.20000000007"/>
    <d v="2024-03-12T00:00:00"/>
    <s v="KO"/>
    <s v="Echue"/>
    <x v="0"/>
    <s v="OK"/>
    <s v="KO"/>
    <s v="Valide"/>
    <x v="223"/>
    <x v="223"/>
  </r>
  <r>
    <x v="224"/>
    <x v="2"/>
    <n v="98290091927"/>
    <s v="Cosumar"/>
    <x v="2"/>
    <s v="93640/2023/1"/>
    <x v="1"/>
    <s v="KO"/>
    <n v="0.6"/>
    <d v="2023-07-20T00:00:00"/>
    <d v="2025-01-20T00:00:00"/>
    <s v="Réglé"/>
    <d v="2023-11-02T00:00:00"/>
    <d v="2023-09-02T00:00:00"/>
    <s v="OCTROI"/>
    <s v="Tamwilcom"/>
    <d v="2024-12-20T00:00:00"/>
    <m/>
    <s v="76185/2023/1"/>
    <s v="2416/2024/PO/DRE/CAC/ND"/>
    <n v="7168738"/>
    <n v="4301242.8"/>
    <n v="716873.8"/>
    <d v="2024-09-06T00:00:00"/>
    <s v="KO"/>
    <s v="Valide"/>
    <x v="1"/>
    <s v="OK"/>
    <s v="KO"/>
    <s v="A renouveller"/>
    <x v="224"/>
    <x v="224"/>
  </r>
  <r>
    <x v="225"/>
    <x v="2"/>
    <n v="86793401882"/>
    <s v="BMCE Bank"/>
    <x v="6"/>
    <s v="22179/2023/1"/>
    <x v="1"/>
    <s v="KO"/>
    <n v="0.6"/>
    <d v="2023-04-27T00:00:00"/>
    <d v="2024-10-27T00:00:00"/>
    <s v="Réglé"/>
    <d v="2023-01-06T00:00:00"/>
    <d v="2023-07-31T00:00:00"/>
    <s v="OCTROI"/>
    <s v="Front"/>
    <d v="2024-12-20T00:00:00"/>
    <m/>
    <s v="50583/2023/1"/>
    <s v="6914/2024/PO/DRE/CAC/ND"/>
    <n v="4362247"/>
    <n v="2617348.1999999997"/>
    <n v="436224.7"/>
    <d v="2024-09-15T00:00:00"/>
    <s v="KO"/>
    <s v="Valide"/>
    <x v="1"/>
    <s v="OK"/>
    <s v="KO"/>
    <s v="A renouveller"/>
    <x v="225"/>
    <x v="225"/>
  </r>
  <r>
    <x v="226"/>
    <x v="2"/>
    <n v="73651522660"/>
    <s v="Managem"/>
    <x v="5"/>
    <s v="18783/2023/1"/>
    <x v="0"/>
    <s v="OK"/>
    <n v="0.5"/>
    <d v="2023-08-19T00:00:00"/>
    <d v="2025-02-19T00:00:00"/>
    <s v="Pas réglé"/>
    <m/>
    <m/>
    <m/>
    <m/>
    <m/>
    <m/>
    <s v="96637/2023/1"/>
    <s v="8651/2024/PO/DRE/CAC/ND"/>
    <n v="9488925"/>
    <n v="5693355"/>
    <n v="948892.5"/>
    <d v="2024-09-15T00:00:00"/>
    <s v="OK"/>
    <s v="Echue"/>
    <x v="0"/>
    <s v="KO"/>
    <s v="OK"/>
    <s v="A renouveller"/>
    <x v="226"/>
    <x v="226"/>
  </r>
  <r>
    <x v="227"/>
    <x v="2"/>
    <n v="76150741397"/>
    <s v="2M Atlas"/>
    <x v="2"/>
    <s v="43203/2023/1"/>
    <x v="0"/>
    <s v="KO"/>
    <n v="0.6"/>
    <d v="2023-08-15T00:00:00"/>
    <d v="2025-02-15T00:00:00"/>
    <s v="Réglé"/>
    <d v="2023-03-25T00:00:00"/>
    <d v="2023-09-28T00:00:00"/>
    <s v="DOUNIALI"/>
    <s v="Tamwilcom"/>
    <d v="2024-11-04T00:00:00"/>
    <m/>
    <s v="47323/2023/1"/>
    <s v="9964/2024/PO/DRE/CAC/ND"/>
    <n v="9698711"/>
    <n v="5819226.5999999996"/>
    <n v="969871.10000000009"/>
    <d v="2024-03-05T00:00:00"/>
    <s v="KO"/>
    <s v="Valide"/>
    <x v="1"/>
    <s v="KO"/>
    <s v="KO"/>
    <s v="Valide"/>
    <x v="227"/>
    <x v="227"/>
  </r>
  <r>
    <x v="228"/>
    <x v="2"/>
    <n v="90727278917"/>
    <s v="Maghreb Steel"/>
    <x v="8"/>
    <s v="14176/2023/1"/>
    <x v="1"/>
    <s v="KO"/>
    <n v="0.5"/>
    <d v="2023-07-22T00:00:00"/>
    <d v="2025-01-22T00:00:00"/>
    <s v="Pas réglé"/>
    <m/>
    <m/>
    <m/>
    <m/>
    <m/>
    <m/>
    <s v="43710/2023/1"/>
    <s v="9911/2024/PO/DRE/CAC/ND"/>
    <n v="2044334"/>
    <n v="1226600.3999999999"/>
    <n v="204433.40000000002"/>
    <d v="2024-06-04T00:00:00"/>
    <s v="KO"/>
    <s v="Valide"/>
    <x v="1"/>
    <s v="KO"/>
    <s v="KO"/>
    <s v="A renouveller"/>
    <x v="228"/>
    <x v="228"/>
  </r>
  <r>
    <x v="229"/>
    <x v="2"/>
    <n v="98328291903"/>
    <s v="Cosumar"/>
    <x v="4"/>
    <s v="21183/2023/1"/>
    <x v="1"/>
    <s v="KO"/>
    <n v="0.6"/>
    <d v="2023-04-10T00:00:00"/>
    <d v="2024-10-10T00:00:00"/>
    <s v="Réglé"/>
    <d v="2023-10-22T00:00:00"/>
    <d v="2023-11-28T00:00:00"/>
    <s v="OCTROI"/>
    <s v="Tamwilcom"/>
    <d v="2024-12-21T00:00:00"/>
    <m/>
    <s v="84023/2023/1"/>
    <s v="9044/2024/PO/DRE/CAC/ND"/>
    <n v="3846230"/>
    <n v="2307738"/>
    <n v="384623"/>
    <d v="2024-02-04T00:00:00"/>
    <s v="KO"/>
    <s v="Echue"/>
    <x v="0"/>
    <s v="OK"/>
    <s v="KO"/>
    <s v="A renouveller"/>
    <x v="229"/>
    <x v="229"/>
  </r>
  <r>
    <x v="230"/>
    <x v="2"/>
    <n v="60815690681"/>
    <s v="Banque Populaire"/>
    <x v="6"/>
    <s v="54966/2023/1"/>
    <x v="1"/>
    <s v="KO"/>
    <n v="0.5"/>
    <d v="2023-08-11T00:00:00"/>
    <d v="2025-02-11T00:00:00"/>
    <s v="Pas réglé"/>
    <m/>
    <m/>
    <m/>
    <m/>
    <m/>
    <m/>
    <s v="46092/2023/1"/>
    <s v="1517/2024/PO/DRE/CAC/ND"/>
    <n v="1095608"/>
    <n v="657364.79999999993"/>
    <n v="109560.8"/>
    <d v="2024-06-13T00:00:00"/>
    <s v="KO"/>
    <s v="Echue"/>
    <x v="0"/>
    <s v="KO"/>
    <s v="KO"/>
    <s v="Valide"/>
    <x v="230"/>
    <x v="230"/>
  </r>
  <r>
    <x v="231"/>
    <x v="2"/>
    <n v="97799809369"/>
    <s v="Ciments du Maroc"/>
    <x v="7"/>
    <s v="24654/2023/1"/>
    <x v="0"/>
    <s v="KO"/>
    <n v="0.6"/>
    <d v="2023-06-05T00:00:00"/>
    <d v="2024-12-05T00:00:00"/>
    <s v="Pas réglé"/>
    <m/>
    <m/>
    <m/>
    <m/>
    <m/>
    <m/>
    <s v="29303/2023/1"/>
    <s v="9628/2024/PO/DRE/CAC/ND"/>
    <n v="5921934"/>
    <n v="3553160.4"/>
    <n v="592193.4"/>
    <d v="2024-12-06T00:00:00"/>
    <s v="KO"/>
    <s v="Valide"/>
    <x v="1"/>
    <s v="OK"/>
    <s v="KO"/>
    <s v="A renouveller"/>
    <x v="231"/>
    <x v="231"/>
  </r>
  <r>
    <x v="232"/>
    <x v="2"/>
    <n v="82819270432"/>
    <s v="Cosumar"/>
    <x v="4"/>
    <s v="28791/2023/1"/>
    <x v="0"/>
    <s v="KO"/>
    <n v="0.6"/>
    <d v="2023-10-12T00:00:00"/>
    <d v="2025-04-12T00:00:00"/>
    <s v="Pas réglé"/>
    <m/>
    <m/>
    <m/>
    <m/>
    <m/>
    <m/>
    <s v="18678/2023/1"/>
    <s v="9732/2024/PO/DRE/CAC/ND"/>
    <n v="7195041"/>
    <n v="4317024.5999999996"/>
    <n v="719504.10000000009"/>
    <d v="2024-08-12T00:00:00"/>
    <s v="KO"/>
    <s v="Echue"/>
    <x v="0"/>
    <s v="OK"/>
    <s v="KO"/>
    <s v="A renouveller"/>
    <x v="232"/>
    <x v="232"/>
  </r>
  <r>
    <x v="233"/>
    <x v="2"/>
    <n v="41533630205"/>
    <s v="Société Générale Maroc"/>
    <x v="0"/>
    <s v="55811/2023/1"/>
    <x v="1"/>
    <s v="KO"/>
    <n v="0.6"/>
    <d v="2023-07-16T00:00:00"/>
    <d v="2025-01-16T00:00:00"/>
    <s v="Réglé"/>
    <d v="2023-10-07T00:00:00"/>
    <d v="2024-06-16T00:00:00"/>
    <s v="OCTROI"/>
    <s v="Tamwilcom"/>
    <d v="2024-11-17T00:00:00"/>
    <m/>
    <s v="50340/2023/1"/>
    <s v="4116/2024/PO/DRE/CAC/ND"/>
    <n v="8851866"/>
    <n v="5311119.5999999996"/>
    <n v="885186.60000000009"/>
    <d v="2024-10-22T00:00:00"/>
    <s v="KO"/>
    <s v="Echue"/>
    <x v="0"/>
    <s v="OK"/>
    <s v="KO"/>
    <s v="Valide"/>
    <x v="233"/>
    <x v="233"/>
  </r>
  <r>
    <x v="234"/>
    <x v="2"/>
    <n v="97312091992"/>
    <s v="Maroc Telecom"/>
    <x v="1"/>
    <s v="48802/2023/1"/>
    <x v="1"/>
    <s v="OK"/>
    <n v="0.6"/>
    <d v="2023-10-19T00:00:00"/>
    <d v="2025-04-19T00:00:00"/>
    <s v="Réglé"/>
    <d v="2023-04-29T00:00:00"/>
    <d v="2024-03-31T00:00:00"/>
    <s v="OCTROI"/>
    <s v="Tamwilcom"/>
    <d v="2024-03-18T00:00:00"/>
    <m/>
    <s v="19319/2023/1"/>
    <s v="1021/2024/PO/DRE/CAC/ND"/>
    <n v="9991695"/>
    <n v="5995017"/>
    <n v="999169.5"/>
    <d v="2024-12-29T00:00:00"/>
    <s v="OK"/>
    <s v="Echue"/>
    <x v="0"/>
    <s v="KO"/>
    <s v="OK"/>
    <s v="A renouveller"/>
    <x v="234"/>
    <x v="234"/>
  </r>
  <r>
    <x v="235"/>
    <x v="2"/>
    <n v="77692485084"/>
    <s v="OCP Group"/>
    <x v="9"/>
    <s v="12750/2023/1"/>
    <x v="1"/>
    <s v="OK"/>
    <n v="0.6"/>
    <d v="2023-02-01T00:00:00"/>
    <d v="2024-08-01T00:00:00"/>
    <s v="Réglé"/>
    <d v="2023-04-05T00:00:00"/>
    <d v="2023-04-10T00:00:00"/>
    <s v="DOUNIALI"/>
    <s v="Front"/>
    <d v="2024-05-18T00:00:00"/>
    <m/>
    <s v="97013/2023/1"/>
    <s v="5625/2024/PO/DRE/CAC/ND"/>
    <n v="2287288"/>
    <n v="1372372.8"/>
    <n v="228728.80000000002"/>
    <d v="2024-08-21T00:00:00"/>
    <s v="OK"/>
    <s v="Echue"/>
    <x v="0"/>
    <s v="KO"/>
    <s v="OK"/>
    <s v="A renouveller"/>
    <x v="235"/>
    <x v="235"/>
  </r>
  <r>
    <x v="236"/>
    <x v="2"/>
    <n v="58160311318"/>
    <s v="Banque Populaire"/>
    <x v="9"/>
    <s v="20754/2023/1"/>
    <x v="1"/>
    <s v="KO"/>
    <n v="0.6"/>
    <d v="2023-12-06T00:00:00"/>
    <d v="2025-06-06T00:00:00"/>
    <s v="Pas réglé"/>
    <m/>
    <m/>
    <m/>
    <m/>
    <m/>
    <m/>
    <s v="44739/2023/1"/>
    <s v="2646/2024/PO/DRE/CAC/ND"/>
    <n v="7919666"/>
    <n v="4751799.5999999996"/>
    <n v="791966.60000000009"/>
    <d v="2024-03-21T00:00:00"/>
    <s v="KO"/>
    <s v="Echue"/>
    <x v="0"/>
    <s v="KO"/>
    <s v="KO"/>
    <s v="A renouveller"/>
    <x v="236"/>
    <x v="236"/>
  </r>
  <r>
    <x v="237"/>
    <x v="2"/>
    <n v="98636737397"/>
    <s v="BMCE Bank"/>
    <x v="0"/>
    <s v="55408/2023/1"/>
    <x v="1"/>
    <s v="KO"/>
    <n v="0.6"/>
    <d v="2023-10-27T00:00:00"/>
    <d v="2025-04-27T00:00:00"/>
    <s v="Pas réglé"/>
    <m/>
    <m/>
    <m/>
    <m/>
    <m/>
    <m/>
    <s v="90930/2023/1"/>
    <s v="7746/2024/PO/DRE/CAC/ND"/>
    <n v="7654844"/>
    <n v="4592906.3999999994"/>
    <n v="765484.4"/>
    <d v="2024-10-22T00:00:00"/>
    <s v="KO"/>
    <s v="Echue"/>
    <x v="0"/>
    <s v="OK"/>
    <s v="KO"/>
    <s v="Valide"/>
    <x v="237"/>
    <x v="237"/>
  </r>
  <r>
    <x v="238"/>
    <x v="2"/>
    <n v="64657259154"/>
    <s v="2M Atlas"/>
    <x v="2"/>
    <s v="95059/2023/1"/>
    <x v="0"/>
    <s v="KO"/>
    <n v="0.6"/>
    <d v="2023-12-01T00:00:00"/>
    <d v="2025-06-01T00:00:00"/>
    <s v="Pas réglé"/>
    <m/>
    <m/>
    <m/>
    <m/>
    <m/>
    <m/>
    <s v="40345/2023/1"/>
    <s v="8809/2024/PO/DRE/CAC/ND"/>
    <n v="8106240"/>
    <n v="4863744"/>
    <n v="810624"/>
    <d v="2024-10-08T00:00:00"/>
    <s v="KO"/>
    <s v="Valide"/>
    <x v="1"/>
    <s v="OK"/>
    <s v="KO"/>
    <s v="A renouveller"/>
    <x v="238"/>
    <x v="238"/>
  </r>
  <r>
    <x v="239"/>
    <x v="2"/>
    <n v="46278318852"/>
    <s v="Maghreb Steel"/>
    <x v="5"/>
    <s v="41022/2023/1"/>
    <x v="0"/>
    <s v="OK"/>
    <n v="0.7"/>
    <d v="2023-12-09T00:00:00"/>
    <d v="2025-06-09T00:00:00"/>
    <s v="Réglé"/>
    <d v="2023-03-02T00:00:00"/>
    <d v="2024-07-19T00:00:00"/>
    <s v="DOUNIALI"/>
    <s v="Tamwilcom"/>
    <d v="2024-02-14T00:00:00"/>
    <m/>
    <s v="28123/2023/1"/>
    <s v="2156/2024/PO/DRE/CAC/ND"/>
    <n v="2064207"/>
    <n v="1238524.2"/>
    <n v="206420.7"/>
    <d v="2024-08-31T00:00:00"/>
    <s v="OK"/>
    <s v="Echue"/>
    <x v="0"/>
    <s v="KO"/>
    <s v="OK"/>
    <s v="Valide"/>
    <x v="239"/>
    <x v="239"/>
  </r>
  <r>
    <x v="240"/>
    <x v="2"/>
    <n v="50220168184"/>
    <s v="Société Générale Maroc"/>
    <x v="0"/>
    <s v="22406/2023/1"/>
    <x v="0"/>
    <s v="OK"/>
    <n v="0.6"/>
    <d v="2023-05-12T00:00:00"/>
    <d v="2024-11-12T00:00:00"/>
    <s v="Pas réglé"/>
    <m/>
    <m/>
    <m/>
    <m/>
    <m/>
    <m/>
    <s v="35499/2023/1"/>
    <s v="3709/2024/PO/DRE/CAC/ND"/>
    <n v="7957063"/>
    <n v="4774237.8"/>
    <n v="795706.3"/>
    <d v="2024-07-07T00:00:00"/>
    <s v="OK"/>
    <s v="Echue"/>
    <x v="0"/>
    <s v="KO"/>
    <s v="OK"/>
    <s v="Valide"/>
    <x v="240"/>
    <x v="240"/>
  </r>
  <r>
    <x v="241"/>
    <x v="2"/>
    <n v="53646175231"/>
    <s v="2M Atlas"/>
    <x v="4"/>
    <s v="91850/2023/1"/>
    <x v="0"/>
    <s v="OK"/>
    <n v="0.6"/>
    <d v="2023-04-11T00:00:00"/>
    <d v="2024-10-11T00:00:00"/>
    <s v="Réglé"/>
    <d v="2023-05-26T00:00:00"/>
    <d v="2023-05-06T00:00:00"/>
    <s v="DOUNIALI"/>
    <s v="Front"/>
    <d v="2024-06-01T00:00:00"/>
    <m/>
    <s v="82097/2023/1"/>
    <s v="9912/2024/PO/DRE/CAC/ND"/>
    <n v="2034956"/>
    <n v="1220973.5999999999"/>
    <n v="203495.6"/>
    <d v="2024-02-18T00:00:00"/>
    <s v="OK"/>
    <s v="Valide"/>
    <x v="1"/>
    <s v="OK"/>
    <s v="OK"/>
    <s v="A renouveller"/>
    <x v="241"/>
    <x v="241"/>
  </r>
  <r>
    <x v="242"/>
    <x v="2"/>
    <n v="25814113991"/>
    <s v="OCP Group"/>
    <x v="6"/>
    <s v="50665/2023/1"/>
    <x v="1"/>
    <s v="OK"/>
    <n v="0.6"/>
    <d v="2023-10-01T00:00:00"/>
    <d v="2025-04-01T00:00:00"/>
    <s v="Réglé"/>
    <d v="2023-05-31T00:00:00"/>
    <d v="2024-09-10T00:00:00"/>
    <s v="DOUNIALI"/>
    <s v="Tamwilcom"/>
    <d v="2024-01-05T00:00:00"/>
    <m/>
    <s v="12616/2023/1"/>
    <s v="7113/2024/PO/DRE/CAC/ND"/>
    <n v="2337988"/>
    <n v="1402792.8"/>
    <n v="233798.80000000002"/>
    <d v="2024-09-13T00:00:00"/>
    <s v="OK"/>
    <s v="Valide"/>
    <x v="1"/>
    <s v="OK"/>
    <s v="OK"/>
    <s v="A renouveller"/>
    <x v="242"/>
    <x v="242"/>
  </r>
  <r>
    <x v="243"/>
    <x v="2"/>
    <n v="49321003404"/>
    <s v="Banque Populaire"/>
    <x v="0"/>
    <s v="27182/2023/1"/>
    <x v="1"/>
    <s v="OK"/>
    <n v="0.6"/>
    <d v="2023-06-08T00:00:00"/>
    <d v="2024-12-08T00:00:00"/>
    <s v="Réglé"/>
    <d v="2023-05-18T00:00:00"/>
    <d v="2023-09-19T00:00:00"/>
    <s v="DOUNIALI"/>
    <s v="Tamwilcom"/>
    <d v="2024-05-29T00:00:00"/>
    <m/>
    <s v="57185/2023/1"/>
    <s v="7268/2024/PO/DRE/CAC/ND"/>
    <n v="9640258"/>
    <n v="5784154.7999999998"/>
    <n v="964025.8"/>
    <d v="2024-10-14T00:00:00"/>
    <s v="OK"/>
    <s v="Echue"/>
    <x v="0"/>
    <s v="OK"/>
    <s v="OK"/>
    <s v="Valide"/>
    <x v="243"/>
    <x v="243"/>
  </r>
  <r>
    <x v="244"/>
    <x v="2"/>
    <n v="66974238769"/>
    <s v="Banque Populaire"/>
    <x v="1"/>
    <s v="47237/2023/1"/>
    <x v="1"/>
    <s v="KO"/>
    <n v="0.6"/>
    <d v="2023-05-14T00:00:00"/>
    <d v="2024-11-14T00:00:00"/>
    <s v="Pas réglé"/>
    <m/>
    <m/>
    <m/>
    <m/>
    <m/>
    <m/>
    <s v="76820/2023/1"/>
    <s v="9558/2024/PO/DRE/CAC/ND"/>
    <n v="3764361"/>
    <n v="2258616.6"/>
    <n v="376436.10000000003"/>
    <d v="2024-01-29T00:00:00"/>
    <s v="KO"/>
    <s v="Echue"/>
    <x v="0"/>
    <s v="OK"/>
    <s v="KO"/>
    <s v="A renouveller"/>
    <x v="244"/>
    <x v="244"/>
  </r>
  <r>
    <x v="245"/>
    <x v="2"/>
    <n v="94183670519"/>
    <s v="Société Générale Maroc"/>
    <x v="9"/>
    <s v="15626/2023/1"/>
    <x v="0"/>
    <s v="OK"/>
    <n v="0.7"/>
    <d v="2023-04-16T00:00:00"/>
    <d v="2024-10-16T00:00:00"/>
    <s v="Réglé"/>
    <d v="2023-12-09T00:00:00"/>
    <d v="2023-05-05T00:00:00"/>
    <s v="DOUNIALI"/>
    <s v="Tamwilcom"/>
    <d v="2024-06-01T00:00:00"/>
    <m/>
    <s v="26552/2023/1"/>
    <s v="3492/2024/PO/DRE/CAC/ND"/>
    <n v="9597288"/>
    <n v="5758372.7999999998"/>
    <n v="959728.8"/>
    <d v="2024-06-23T00:00:00"/>
    <s v="OK"/>
    <s v="Valide"/>
    <x v="1"/>
    <s v="OK"/>
    <s v="OK"/>
    <s v="Valide"/>
    <x v="245"/>
    <x v="245"/>
  </r>
  <r>
    <x v="246"/>
    <x v="2"/>
    <n v="85464253001"/>
    <s v="Ciments du Maroc"/>
    <x v="5"/>
    <s v="27897/2023/1"/>
    <x v="0"/>
    <s v="OK"/>
    <n v="0.6"/>
    <d v="2023-04-19T00:00:00"/>
    <d v="2024-10-19T00:00:00"/>
    <s v="Pas réglé"/>
    <m/>
    <m/>
    <m/>
    <m/>
    <m/>
    <m/>
    <s v="41264/2023/1"/>
    <s v="8545/2024/PO/DRE/CAC/ND"/>
    <n v="4817267"/>
    <n v="2890360.1999999997"/>
    <n v="481726.7"/>
    <d v="2024-04-11T00:00:00"/>
    <s v="OK"/>
    <s v="Valide"/>
    <x v="1"/>
    <s v="KO"/>
    <s v="OK"/>
    <s v="Valide"/>
    <x v="246"/>
    <x v="246"/>
  </r>
  <r>
    <x v="247"/>
    <x v="2"/>
    <n v="88945984338"/>
    <s v="Managem"/>
    <x v="0"/>
    <s v="63617/2023/1"/>
    <x v="0"/>
    <s v="OK"/>
    <n v="0.6"/>
    <d v="2023-10-11T00:00:00"/>
    <d v="2025-04-11T00:00:00"/>
    <s v="Réglé"/>
    <d v="2023-05-19T00:00:00"/>
    <d v="2024-05-18T00:00:00"/>
    <s v="OCTROI"/>
    <s v="Tamwilcom"/>
    <d v="2024-02-10T00:00:00"/>
    <m/>
    <s v="88501/2023/1"/>
    <s v="9777/2024/PO/DRE/CAC/ND"/>
    <n v="6728054"/>
    <n v="4036832.4"/>
    <n v="672805.4"/>
    <d v="2024-03-13T00:00:00"/>
    <s v="OK"/>
    <s v="Echue"/>
    <x v="0"/>
    <s v="KO"/>
    <s v="OK"/>
    <s v="A renouveller"/>
    <x v="247"/>
    <x v="247"/>
  </r>
  <r>
    <x v="248"/>
    <x v="2"/>
    <n v="24232772303"/>
    <s v="Cosumar"/>
    <x v="4"/>
    <s v="35644/2023/1"/>
    <x v="1"/>
    <s v="KO"/>
    <n v="0.6"/>
    <d v="2023-03-02T00:00:00"/>
    <d v="2024-09-02T00:00:00"/>
    <s v="Pas réglé"/>
    <m/>
    <m/>
    <m/>
    <m/>
    <m/>
    <m/>
    <s v="69758/2023/1"/>
    <s v="9442/2024/PO/DRE/CAC/ND"/>
    <n v="3552462"/>
    <n v="2131477.1999999997"/>
    <n v="355246.2"/>
    <d v="2024-01-10T00:00:00"/>
    <s v="KO"/>
    <s v="Echue"/>
    <x v="0"/>
    <s v="KO"/>
    <s v="KO"/>
    <s v="A renouveller"/>
    <x v="248"/>
    <x v="248"/>
  </r>
  <r>
    <x v="249"/>
    <x v="2"/>
    <n v="65115411434"/>
    <s v="OCP Group"/>
    <x v="0"/>
    <s v="65353/2023/1"/>
    <x v="1"/>
    <s v="KO"/>
    <n v="0.5"/>
    <d v="2023-06-19T00:00:00"/>
    <d v="2024-12-19T00:00:00"/>
    <s v="Pas réglé"/>
    <m/>
    <m/>
    <m/>
    <m/>
    <m/>
    <m/>
    <s v="21472/2023/1"/>
    <s v="4442/2024/PO/DRE/CAC/ND"/>
    <n v="6114623"/>
    <n v="3668773.8"/>
    <n v="611462.30000000005"/>
    <d v="2024-06-12T00:00:00"/>
    <s v="KO"/>
    <s v="Echue"/>
    <x v="0"/>
    <s v="KO"/>
    <s v="KO"/>
    <s v="Valide"/>
    <x v="249"/>
    <x v="249"/>
  </r>
  <r>
    <x v="250"/>
    <x v="2"/>
    <n v="88150332885"/>
    <s v="Banque Populaire"/>
    <x v="4"/>
    <s v="79407/2023/1"/>
    <x v="1"/>
    <s v="KO"/>
    <n v="0.5"/>
    <d v="2023-02-05T00:00:00"/>
    <d v="2024-08-05T00:00:00"/>
    <s v="Réglé"/>
    <d v="2023-10-21T00:00:00"/>
    <d v="2023-07-29T00:00:00"/>
    <s v="OCTROI"/>
    <s v="Front"/>
    <d v="2024-08-17T00:00:00"/>
    <m/>
    <s v="82425/2023/1"/>
    <s v="2104/2024/PO/DRE/CAC/ND"/>
    <n v="9811512"/>
    <n v="5886907.2000000002"/>
    <n v="981151.20000000007"/>
    <d v="2024-09-13T00:00:00"/>
    <s v="KO"/>
    <s v="Echue"/>
    <x v="0"/>
    <s v="KO"/>
    <s v="KO"/>
    <s v="A renouveller"/>
    <x v="250"/>
    <x v="250"/>
  </r>
  <r>
    <x v="251"/>
    <x v="2"/>
    <n v="31215002858"/>
    <s v="OCP Group"/>
    <x v="3"/>
    <s v="63828/2023/1"/>
    <x v="1"/>
    <s v="KO"/>
    <n v="0.6"/>
    <d v="2023-05-26T00:00:00"/>
    <d v="2024-11-26T00:00:00"/>
    <s v="Réglé"/>
    <d v="2023-01-30T00:00:00"/>
    <d v="2024-03-29T00:00:00"/>
    <s v="DOUNIALI"/>
    <s v="Tamwilcom"/>
    <d v="2024-12-29T00:00:00"/>
    <m/>
    <s v="86129/2023/1"/>
    <s v="5629/2024/PO/DRE/CAC/ND"/>
    <n v="6825430"/>
    <n v="4095258"/>
    <n v="682543"/>
    <d v="2024-11-30T00:00:00"/>
    <s v="KO"/>
    <s v="Valide"/>
    <x v="1"/>
    <s v="OK"/>
    <s v="KO"/>
    <s v="A renouveller"/>
    <x v="251"/>
    <x v="251"/>
  </r>
  <r>
    <x v="252"/>
    <x v="2"/>
    <n v="75782473856"/>
    <s v="Société Générale Maroc"/>
    <x v="6"/>
    <s v="28144/2023/1"/>
    <x v="1"/>
    <s v="OK"/>
    <n v="0.7"/>
    <d v="2023-12-30T00:00:00"/>
    <d v="2025-06-30T00:00:00"/>
    <s v="Réglé"/>
    <d v="2023-08-24T00:00:00"/>
    <d v="2024-10-22T00:00:00"/>
    <s v="DOUNIALI"/>
    <s v="Front"/>
    <d v="2024-05-01T00:00:00"/>
    <m/>
    <s v="35214/2023/1"/>
    <s v="3155/2024/PO/DRE/CAC/ND"/>
    <n v="4245747"/>
    <n v="2547448.1999999997"/>
    <n v="424574.7"/>
    <d v="2024-11-10T00:00:00"/>
    <s v="OK"/>
    <s v="Echue"/>
    <x v="0"/>
    <s v="KO"/>
    <s v="OK"/>
    <s v="Valide"/>
    <x v="252"/>
    <x v="252"/>
  </r>
  <r>
    <x v="253"/>
    <x v="2"/>
    <n v="41550925422"/>
    <s v="Managem"/>
    <x v="2"/>
    <s v="56067/2023/1"/>
    <x v="1"/>
    <s v="OK"/>
    <n v="0.6"/>
    <d v="2023-11-15T00:00:00"/>
    <d v="2025-05-15T00:00:00"/>
    <s v="Pas réglé"/>
    <m/>
    <m/>
    <m/>
    <m/>
    <m/>
    <m/>
    <s v="96267/2023/1"/>
    <s v="2834/2024/PO/DRE/CAC/ND"/>
    <n v="4491655"/>
    <n v="2694993"/>
    <n v="449165.5"/>
    <d v="2024-02-14T00:00:00"/>
    <s v="OK"/>
    <s v="Valide"/>
    <x v="1"/>
    <s v="OK"/>
    <s v="OK"/>
    <s v="A renouveller"/>
    <x v="253"/>
    <x v="253"/>
  </r>
  <r>
    <x v="254"/>
    <x v="2"/>
    <n v="69611503435"/>
    <s v="Ciments du Maroc"/>
    <x v="9"/>
    <s v="24799/2023/1"/>
    <x v="0"/>
    <s v="KO"/>
    <n v="0.6"/>
    <d v="2023-06-04T00:00:00"/>
    <d v="2024-12-04T00:00:00"/>
    <s v="Réglé"/>
    <d v="2023-05-16T00:00:00"/>
    <d v="2024-04-24T00:00:00"/>
    <s v="OCTROI"/>
    <s v="Front"/>
    <d v="2024-06-09T00:00:00"/>
    <m/>
    <s v="79673/2023/1"/>
    <s v="2835/2024/PO/DRE/CAC/ND"/>
    <n v="4590168"/>
    <n v="2754100.8"/>
    <n v="459016.80000000005"/>
    <d v="2024-06-21T00:00:00"/>
    <s v="KO"/>
    <s v="Valide"/>
    <x v="1"/>
    <s v="OK"/>
    <s v="KO"/>
    <s v="A renouveller"/>
    <x v="254"/>
    <x v="254"/>
  </r>
  <r>
    <x v="255"/>
    <x v="2"/>
    <n v="63851591788"/>
    <s v="Banque Populaire"/>
    <x v="7"/>
    <s v="71533/2023/1"/>
    <x v="1"/>
    <s v="KO"/>
    <n v="0.6"/>
    <d v="2023-01-22T00:00:00"/>
    <d v="2024-07-22T00:00:00"/>
    <s v="Réglé"/>
    <d v="2023-05-05T00:00:00"/>
    <d v="2023-07-13T00:00:00"/>
    <s v="DOUNIALI"/>
    <s v="Tamwilcom"/>
    <d v="2024-10-18T00:00:00"/>
    <m/>
    <s v="96817/2023/1"/>
    <s v="9208/2024/PO/DRE/CAC/ND"/>
    <n v="2114887"/>
    <n v="1268932.2"/>
    <n v="211488.7"/>
    <d v="2024-12-21T00:00:00"/>
    <s v="KO"/>
    <s v="Echue"/>
    <x v="0"/>
    <s v="KO"/>
    <s v="KO"/>
    <s v="Valide"/>
    <x v="255"/>
    <x v="255"/>
  </r>
  <r>
    <x v="256"/>
    <x v="2"/>
    <n v="80429988303"/>
    <s v="OCP Group"/>
    <x v="7"/>
    <s v="25358/2023/1"/>
    <x v="0"/>
    <s v="OK"/>
    <n v="0.5"/>
    <d v="2023-06-04T00:00:00"/>
    <d v="2024-12-04T00:00:00"/>
    <s v="Pas réglé"/>
    <m/>
    <m/>
    <m/>
    <m/>
    <m/>
    <m/>
    <s v="41569/2023/1"/>
    <s v="9421/2024/PO/DRE/CAC/ND"/>
    <n v="8766509"/>
    <n v="5259905.3999999994"/>
    <n v="876650.9"/>
    <d v="2024-07-03T00:00:00"/>
    <s v="OK"/>
    <s v="Valide"/>
    <x v="1"/>
    <s v="OK"/>
    <s v="OK"/>
    <s v="Valide"/>
    <x v="256"/>
    <x v="256"/>
  </r>
  <r>
    <x v="257"/>
    <x v="2"/>
    <n v="77433059960"/>
    <s v="Managem"/>
    <x v="3"/>
    <s v="68703/2023/1"/>
    <x v="1"/>
    <s v="OK"/>
    <n v="0.6"/>
    <d v="2023-05-31T00:00:00"/>
    <d v="2024-11-30T00:00:00"/>
    <s v="Pas réglé"/>
    <m/>
    <m/>
    <m/>
    <m/>
    <m/>
    <m/>
    <s v="58314/2023/1"/>
    <s v="3296/2024/PO/DRE/CAC/ND"/>
    <n v="1029679"/>
    <n v="617807.4"/>
    <n v="102967.90000000001"/>
    <d v="2024-11-20T00:00:00"/>
    <s v="OK"/>
    <s v="Echue"/>
    <x v="0"/>
    <s v="KO"/>
    <s v="OK"/>
    <s v="Valide"/>
    <x v="257"/>
    <x v="257"/>
  </r>
  <r>
    <x v="258"/>
    <x v="2"/>
    <n v="93958219253"/>
    <s v="Société Générale Maroc"/>
    <x v="3"/>
    <s v="46878/2023/1"/>
    <x v="1"/>
    <s v="OK"/>
    <n v="0.6"/>
    <d v="2023-01-23T00:00:00"/>
    <d v="2024-07-23T00:00:00"/>
    <s v="Pas réglé"/>
    <m/>
    <m/>
    <m/>
    <m/>
    <m/>
    <m/>
    <s v="31274/2023/1"/>
    <s v="8314/2024/PO/DRE/CAC/ND"/>
    <n v="6456427"/>
    <n v="3873856.1999999997"/>
    <n v="645642.70000000007"/>
    <d v="2024-07-12T00:00:00"/>
    <s v="OK"/>
    <s v="Echue"/>
    <x v="0"/>
    <s v="OK"/>
    <s v="OK"/>
    <s v="A renouveller"/>
    <x v="258"/>
    <x v="258"/>
  </r>
  <r>
    <x v="259"/>
    <x v="2"/>
    <n v="38062829296"/>
    <s v="OCP Group"/>
    <x v="2"/>
    <s v="22297/2023/1"/>
    <x v="1"/>
    <s v="OK"/>
    <n v="0.7"/>
    <d v="2023-06-15T00:00:00"/>
    <d v="2024-12-15T00:00:00"/>
    <s v="Pas réglé"/>
    <m/>
    <m/>
    <m/>
    <m/>
    <m/>
    <m/>
    <s v="18823/2023/1"/>
    <s v="5086/2024/PO/DRE/CAC/ND"/>
    <n v="4077311"/>
    <n v="2446386.6"/>
    <n v="407731.10000000003"/>
    <d v="2024-09-23T00:00:00"/>
    <s v="OK"/>
    <s v="Valide"/>
    <x v="1"/>
    <s v="OK"/>
    <s v="OK"/>
    <s v="Valide"/>
    <x v="259"/>
    <x v="259"/>
  </r>
  <r>
    <x v="260"/>
    <x v="2"/>
    <n v="50423374199"/>
    <s v="Ciments du Maroc"/>
    <x v="6"/>
    <s v="75669/2023/1"/>
    <x v="1"/>
    <s v="OK"/>
    <n v="0.6"/>
    <d v="2023-06-25T00:00:00"/>
    <d v="2024-12-25T00:00:00"/>
    <s v="Pas réglé"/>
    <m/>
    <m/>
    <m/>
    <m/>
    <m/>
    <m/>
    <s v="72666/2023/1"/>
    <s v="4155/2024/PO/DRE/CAC/ND"/>
    <n v="1125009"/>
    <n v="675005.4"/>
    <n v="112500.90000000001"/>
    <d v="2024-11-06T00:00:00"/>
    <s v="OK"/>
    <s v="Valide"/>
    <x v="1"/>
    <s v="OK"/>
    <s v="OK"/>
    <s v="Valide"/>
    <x v="260"/>
    <x v="260"/>
  </r>
  <r>
    <x v="261"/>
    <x v="2"/>
    <n v="48404050193"/>
    <s v="Cosumar"/>
    <x v="1"/>
    <s v="89501/2023/1"/>
    <x v="0"/>
    <s v="KO"/>
    <n v="0.7"/>
    <d v="2023-03-20T00:00:00"/>
    <d v="2024-09-20T00:00:00"/>
    <s v="Réglé"/>
    <d v="2023-03-23T00:00:00"/>
    <d v="2023-12-07T00:00:00"/>
    <s v="OCTROI"/>
    <s v="Front"/>
    <d v="2024-07-11T00:00:00"/>
    <m/>
    <s v="83097/2023/1"/>
    <s v="4562/2024/PO/DRE/CAC/ND"/>
    <n v="3958277"/>
    <n v="2374966.1999999997"/>
    <n v="395827.7"/>
    <d v="2024-10-23T00:00:00"/>
    <s v="KO"/>
    <s v="Echue"/>
    <x v="0"/>
    <s v="KO"/>
    <s v="KO"/>
    <s v="A renouveller"/>
    <x v="261"/>
    <x v="261"/>
  </r>
  <r>
    <x v="262"/>
    <x v="2"/>
    <n v="69935117052"/>
    <s v="BMCE Bank"/>
    <x v="7"/>
    <s v="51503/2023/1"/>
    <x v="0"/>
    <s v="OK"/>
    <n v="0.7"/>
    <d v="2023-02-17T00:00:00"/>
    <d v="2024-08-17T00:00:00"/>
    <s v="Réglé"/>
    <d v="2023-12-04T00:00:00"/>
    <d v="2023-10-27T00:00:00"/>
    <s v="OCTROI"/>
    <s v="Front"/>
    <d v="2024-12-18T00:00:00"/>
    <m/>
    <s v="92456/2023/1"/>
    <s v="3743/2024/PO/DRE/CAC/ND"/>
    <n v="5081350"/>
    <n v="3048810"/>
    <n v="508135"/>
    <d v="2024-07-29T00:00:00"/>
    <s v="OK"/>
    <s v="Echue"/>
    <x v="0"/>
    <s v="OK"/>
    <s v="OK"/>
    <s v="Valide"/>
    <x v="262"/>
    <x v="262"/>
  </r>
  <r>
    <x v="263"/>
    <x v="2"/>
    <n v="35987321495"/>
    <s v="Maroc Telecom"/>
    <x v="0"/>
    <s v="60950/2023/1"/>
    <x v="1"/>
    <s v="OK"/>
    <n v="0.7"/>
    <d v="2023-09-25T00:00:00"/>
    <d v="2025-03-25T00:00:00"/>
    <s v="Pas réglé"/>
    <m/>
    <m/>
    <m/>
    <m/>
    <m/>
    <m/>
    <s v="55261/2023/1"/>
    <s v="9825/2024/PO/DRE/CAC/ND"/>
    <n v="9315522"/>
    <n v="5589313.2000000002"/>
    <n v="931552.20000000007"/>
    <d v="2024-04-10T00:00:00"/>
    <s v="OK"/>
    <s v="Valide"/>
    <x v="1"/>
    <s v="OK"/>
    <s v="OK"/>
    <s v="Valide"/>
    <x v="263"/>
    <x v="263"/>
  </r>
  <r>
    <x v="264"/>
    <x v="2"/>
    <n v="18846345290"/>
    <s v="2M Atlas"/>
    <x v="5"/>
    <s v="30210/2023/1"/>
    <x v="1"/>
    <s v="KO"/>
    <n v="0.6"/>
    <d v="2023-02-02T00:00:00"/>
    <d v="2024-08-02T00:00:00"/>
    <s v="Réglé"/>
    <d v="2023-06-05T00:00:00"/>
    <d v="2024-02-02T00:00:00"/>
    <s v="OCTROI"/>
    <s v="Front"/>
    <d v="2024-02-14T00:00:00"/>
    <m/>
    <s v="99753/2023/1"/>
    <s v="9435/2024/PO/DRE/CAC/ND"/>
    <n v="9130311"/>
    <n v="5478186.5999999996"/>
    <n v="913031.10000000009"/>
    <d v="2024-04-10T00:00:00"/>
    <s v="KO"/>
    <s v="Echue"/>
    <x v="0"/>
    <s v="OK"/>
    <s v="KO"/>
    <s v="A renouveller"/>
    <x v="264"/>
    <x v="264"/>
  </r>
  <r>
    <x v="265"/>
    <x v="2"/>
    <n v="40324355634"/>
    <s v="Ciments du Maroc"/>
    <x v="5"/>
    <s v="10618/2023/1"/>
    <x v="0"/>
    <s v="OK"/>
    <n v="0.6"/>
    <d v="2023-08-30T00:00:00"/>
    <d v="2025-02-28T00:00:00"/>
    <s v="Réglé"/>
    <d v="2023-08-11T00:00:00"/>
    <d v="2024-02-07T00:00:00"/>
    <s v="OCTROI"/>
    <s v="Front"/>
    <d v="2024-02-05T00:00:00"/>
    <m/>
    <s v="67205/2023/1"/>
    <s v="9163/2024/PO/DRE/CAC/ND"/>
    <n v="3075756"/>
    <n v="1845453.5999999999"/>
    <n v="307575.60000000003"/>
    <d v="2024-03-03T00:00:00"/>
    <s v="OK"/>
    <s v="Valide"/>
    <x v="1"/>
    <s v="KO"/>
    <s v="OK"/>
    <s v="Valide"/>
    <x v="265"/>
    <x v="265"/>
  </r>
  <r>
    <x v="266"/>
    <x v="2"/>
    <n v="42399802527"/>
    <s v="BMCE Bank"/>
    <x v="0"/>
    <s v="41860/2023/1"/>
    <x v="1"/>
    <s v="KO"/>
    <n v="0.6"/>
    <d v="2023-09-14T00:00:00"/>
    <d v="2025-03-14T00:00:00"/>
    <s v="Pas réglé"/>
    <m/>
    <m/>
    <m/>
    <m/>
    <m/>
    <m/>
    <s v="47600/2023/1"/>
    <s v="7562/2024/PO/DRE/CAC/ND"/>
    <n v="8139032"/>
    <n v="4883419.2"/>
    <n v="813903.20000000007"/>
    <d v="2024-07-13T00:00:00"/>
    <s v="KO"/>
    <s v="Echue"/>
    <x v="0"/>
    <s v="KO"/>
    <s v="KO"/>
    <s v="Valide"/>
    <x v="266"/>
    <x v="266"/>
  </r>
  <r>
    <x v="267"/>
    <x v="2"/>
    <n v="21651945398"/>
    <s v="2M Atlas"/>
    <x v="6"/>
    <s v="14704/2023/1"/>
    <x v="0"/>
    <s v="KO"/>
    <n v="0.7"/>
    <d v="2023-11-26T00:00:00"/>
    <d v="2025-05-26T00:00:00"/>
    <s v="Pas réglé"/>
    <m/>
    <m/>
    <m/>
    <m/>
    <m/>
    <m/>
    <s v="98757/2023/1"/>
    <s v="4042/2024/PO/DRE/CAC/ND"/>
    <n v="3986917"/>
    <n v="2392150.1999999997"/>
    <n v="398691.7"/>
    <d v="2024-10-10T00:00:00"/>
    <s v="KO"/>
    <s v="Valide"/>
    <x v="1"/>
    <s v="OK"/>
    <s v="KO"/>
    <s v="Valide"/>
    <x v="267"/>
    <x v="267"/>
  </r>
  <r>
    <x v="268"/>
    <x v="2"/>
    <n v="85755301259"/>
    <s v="BMCE Bank"/>
    <x v="0"/>
    <s v="66221/2023/1"/>
    <x v="0"/>
    <s v="KO"/>
    <n v="0.5"/>
    <d v="2023-04-10T00:00:00"/>
    <d v="2024-10-10T00:00:00"/>
    <s v="Réglé"/>
    <d v="2023-10-10T00:00:00"/>
    <d v="2023-08-08T00:00:00"/>
    <s v="OCTROI"/>
    <s v="Front"/>
    <d v="2024-02-09T00:00:00"/>
    <m/>
    <s v="75507/2023/1"/>
    <s v="4170/2024/PO/DRE/CAC/ND"/>
    <n v="1354562"/>
    <n v="812737.2"/>
    <n v="135456.20000000001"/>
    <d v="2024-10-03T00:00:00"/>
    <s v="KO"/>
    <s v="Valide"/>
    <x v="1"/>
    <s v="OK"/>
    <s v="KO"/>
    <s v="Valide"/>
    <x v="268"/>
    <x v="268"/>
  </r>
  <r>
    <x v="269"/>
    <x v="2"/>
    <n v="43985888949"/>
    <s v="Banque Populaire"/>
    <x v="6"/>
    <s v="54105/2023/1"/>
    <x v="1"/>
    <s v="OK"/>
    <n v="0.7"/>
    <d v="2023-12-26T00:00:00"/>
    <d v="2025-06-26T00:00:00"/>
    <s v="Réglé"/>
    <d v="2023-05-25T00:00:00"/>
    <d v="2024-02-15T00:00:00"/>
    <s v="DOUNIALI"/>
    <s v="Tamwilcom"/>
    <d v="2024-06-04T00:00:00"/>
    <m/>
    <s v="27355/2023/1"/>
    <s v="1232/2024/PO/DRE/CAC/ND"/>
    <n v="8522626"/>
    <n v="5113575.5999999996"/>
    <n v="852262.60000000009"/>
    <d v="2024-07-07T00:00:00"/>
    <s v="OK"/>
    <s v="Echue"/>
    <x v="0"/>
    <s v="OK"/>
    <s v="OK"/>
    <s v="Valide"/>
    <x v="269"/>
    <x v="269"/>
  </r>
  <r>
    <x v="270"/>
    <x v="2"/>
    <n v="53527391217"/>
    <s v="Société Générale Maroc"/>
    <x v="8"/>
    <s v="65343/2023/1"/>
    <x v="1"/>
    <s v="KO"/>
    <n v="0.6"/>
    <d v="2023-04-12T00:00:00"/>
    <d v="2024-10-12T00:00:00"/>
    <s v="Pas réglé"/>
    <m/>
    <m/>
    <m/>
    <m/>
    <m/>
    <m/>
    <s v="77044/2023/1"/>
    <s v="6262/2024/PO/DRE/CAC/ND"/>
    <n v="6750847"/>
    <n v="4050508.1999999997"/>
    <n v="675084.70000000007"/>
    <d v="2024-09-07T00:00:00"/>
    <s v="KO"/>
    <s v="Valide"/>
    <x v="1"/>
    <s v="OK"/>
    <s v="KO"/>
    <s v="Valide"/>
    <x v="270"/>
    <x v="270"/>
  </r>
  <r>
    <x v="271"/>
    <x v="2"/>
    <n v="30080828538"/>
    <s v="Maghreb Steel"/>
    <x v="7"/>
    <s v="87516/2023/1"/>
    <x v="1"/>
    <s v="OK"/>
    <n v="0.6"/>
    <d v="2023-12-23T00:00:00"/>
    <d v="2025-06-23T00:00:00"/>
    <s v="Pas réglé"/>
    <m/>
    <m/>
    <m/>
    <m/>
    <m/>
    <m/>
    <s v="87707/2023/1"/>
    <s v="4558/2024/PO/DRE/CAC/ND"/>
    <n v="1709364"/>
    <n v="1025618.3999999999"/>
    <n v="170936.40000000002"/>
    <d v="2024-10-04T00:00:00"/>
    <s v="OK"/>
    <s v="Valide"/>
    <x v="1"/>
    <s v="OK"/>
    <s v="OK"/>
    <s v="A renouveller"/>
    <x v="271"/>
    <x v="271"/>
  </r>
  <r>
    <x v="272"/>
    <x v="2"/>
    <n v="23141169340"/>
    <s v="2M Atlas"/>
    <x v="6"/>
    <s v="37261/2023/1"/>
    <x v="1"/>
    <s v="OK"/>
    <n v="0.6"/>
    <d v="2023-11-01T00:00:00"/>
    <d v="2025-05-01T00:00:00"/>
    <s v="Réglé"/>
    <d v="2023-04-03T00:00:00"/>
    <d v="2023-11-09T00:00:00"/>
    <s v="DOUNIALI"/>
    <s v="Tamwilcom"/>
    <d v="2024-10-15T00:00:00"/>
    <m/>
    <s v="49435/2023/1"/>
    <s v="5535/2024/PO/DRE/CAC/ND"/>
    <n v="8145625"/>
    <n v="4887375"/>
    <n v="814562.5"/>
    <d v="2024-09-20T00:00:00"/>
    <s v="OK"/>
    <s v="Echue"/>
    <x v="0"/>
    <s v="OK"/>
    <s v="OK"/>
    <s v="Valide"/>
    <x v="272"/>
    <x v="272"/>
  </r>
  <r>
    <x v="273"/>
    <x v="2"/>
    <n v="74183697329"/>
    <s v="BMCE Bank"/>
    <x v="4"/>
    <s v="21648/2023/1"/>
    <x v="0"/>
    <s v="OK"/>
    <n v="0.6"/>
    <d v="2023-02-18T00:00:00"/>
    <d v="2024-08-18T00:00:00"/>
    <s v="Pas réglé"/>
    <m/>
    <m/>
    <m/>
    <m/>
    <m/>
    <m/>
    <s v="23850/2023/1"/>
    <s v="9359/2024/PO/DRE/CAC/ND"/>
    <n v="4917603"/>
    <n v="2950561.8"/>
    <n v="491760.30000000005"/>
    <d v="2024-07-26T00:00:00"/>
    <s v="OK"/>
    <s v="Echue"/>
    <x v="0"/>
    <s v="OK"/>
    <s v="OK"/>
    <s v="A renouveller"/>
    <x v="273"/>
    <x v="273"/>
  </r>
  <r>
    <x v="274"/>
    <x v="2"/>
    <n v="64141412038"/>
    <s v="2M Atlas"/>
    <x v="5"/>
    <s v="88263/2023/1"/>
    <x v="1"/>
    <s v="KO"/>
    <n v="0.6"/>
    <d v="2023-09-10T00:00:00"/>
    <d v="2025-03-10T00:00:00"/>
    <s v="Réglé"/>
    <d v="2023-05-22T00:00:00"/>
    <d v="2024-04-23T00:00:00"/>
    <s v="OCTROI"/>
    <s v="Tamwilcom"/>
    <d v="2024-01-20T00:00:00"/>
    <m/>
    <s v="54007/2023/1"/>
    <s v="8975/2024/PO/DRE/CAC/ND"/>
    <n v="5593355"/>
    <n v="3356013"/>
    <n v="559335.5"/>
    <d v="2024-03-12T00:00:00"/>
    <s v="KO"/>
    <s v="Echue"/>
    <x v="0"/>
    <s v="KO"/>
    <s v="KO"/>
    <s v="A renouveller"/>
    <x v="274"/>
    <x v="274"/>
  </r>
  <r>
    <x v="275"/>
    <x v="2"/>
    <n v="55435199332"/>
    <s v="2M Atlas"/>
    <x v="1"/>
    <s v="84967/2023/1"/>
    <x v="1"/>
    <s v="OK"/>
    <n v="0.6"/>
    <d v="2023-04-13T00:00:00"/>
    <d v="2024-10-13T00:00:00"/>
    <s v="Réglé"/>
    <d v="2023-07-26T00:00:00"/>
    <d v="2023-11-04T00:00:00"/>
    <s v="DOUNIALI"/>
    <s v="Tamwilcom"/>
    <d v="2024-03-23T00:00:00"/>
    <m/>
    <s v="30054/2023/1"/>
    <s v="7927/2024/PO/DRE/CAC/ND"/>
    <n v="1118553"/>
    <n v="671131.79999999993"/>
    <n v="111855.3"/>
    <d v="2024-05-13T00:00:00"/>
    <s v="OK"/>
    <s v="Echue"/>
    <x v="0"/>
    <s v="OK"/>
    <s v="OK"/>
    <s v="A renouveller"/>
    <x v="275"/>
    <x v="275"/>
  </r>
  <r>
    <x v="276"/>
    <x v="2"/>
    <n v="17908089533"/>
    <s v="Cosumar"/>
    <x v="9"/>
    <s v="35576/2023/1"/>
    <x v="0"/>
    <s v="KO"/>
    <n v="0.6"/>
    <d v="2023-05-26T00:00:00"/>
    <d v="2024-11-26T00:00:00"/>
    <s v="Pas réglé"/>
    <m/>
    <m/>
    <m/>
    <m/>
    <m/>
    <m/>
    <s v="45787/2023/1"/>
    <s v="1131/2024/PO/DRE/CAC/ND"/>
    <n v="8859921"/>
    <n v="5315952.5999999996"/>
    <n v="885992.10000000009"/>
    <d v="2024-09-13T00:00:00"/>
    <s v="KO"/>
    <s v="Valide"/>
    <x v="1"/>
    <s v="KO"/>
    <s v="KO"/>
    <s v="A renouveller"/>
    <x v="276"/>
    <x v="276"/>
  </r>
  <r>
    <x v="277"/>
    <x v="2"/>
    <n v="56879493107"/>
    <s v="Société Générale Maroc"/>
    <x v="9"/>
    <s v="29275/2023/1"/>
    <x v="0"/>
    <s v="OK"/>
    <n v="0.6"/>
    <d v="2023-01-29T00:00:00"/>
    <d v="2024-07-29T00:00:00"/>
    <s v="Réglé"/>
    <d v="2023-01-08T00:00:00"/>
    <d v="2023-08-11T00:00:00"/>
    <s v="OCTROI"/>
    <s v="Front"/>
    <d v="2024-06-25T00:00:00"/>
    <m/>
    <s v="77892/2023/1"/>
    <s v="6822/2024/PO/DRE/CAC/ND"/>
    <n v="3944900"/>
    <n v="2366940"/>
    <n v="394490"/>
    <d v="2024-11-13T00:00:00"/>
    <s v="OK"/>
    <s v="Valide"/>
    <x v="1"/>
    <s v="OK"/>
    <s v="OK"/>
    <s v="Valide"/>
    <x v="277"/>
    <x v="277"/>
  </r>
  <r>
    <x v="278"/>
    <x v="2"/>
    <n v="15619555688"/>
    <s v="Maroc Telecom"/>
    <x v="1"/>
    <s v="54900/2023/1"/>
    <x v="0"/>
    <s v="OK"/>
    <n v="0.6"/>
    <d v="2023-02-16T00:00:00"/>
    <d v="2024-08-16T00:00:00"/>
    <s v="Pas réglé"/>
    <m/>
    <m/>
    <m/>
    <m/>
    <m/>
    <m/>
    <s v="50428/2023/1"/>
    <s v="5773/2024/PO/DRE/CAC/ND"/>
    <n v="6682626"/>
    <n v="4009575.5999999996"/>
    <n v="668262.60000000009"/>
    <d v="2024-02-23T00:00:00"/>
    <s v="OK"/>
    <s v="Valide"/>
    <x v="1"/>
    <s v="KO"/>
    <s v="OK"/>
    <s v="A renouveller"/>
    <x v="278"/>
    <x v="278"/>
  </r>
  <r>
    <x v="279"/>
    <x v="2"/>
    <n v="94866596753"/>
    <s v="OCP Group"/>
    <x v="9"/>
    <s v="81366/2023/1"/>
    <x v="0"/>
    <s v="OK"/>
    <n v="0.6"/>
    <d v="2023-07-23T00:00:00"/>
    <d v="2025-01-23T00:00:00"/>
    <s v="Pas réglé"/>
    <m/>
    <m/>
    <m/>
    <m/>
    <m/>
    <m/>
    <s v="17321/2023/1"/>
    <s v="7877/2024/PO/DRE/CAC/ND"/>
    <n v="1259035"/>
    <n v="755421"/>
    <n v="125903.5"/>
    <d v="2024-09-19T00:00:00"/>
    <s v="OK"/>
    <s v="Echue"/>
    <x v="0"/>
    <s v="OK"/>
    <s v="OK"/>
    <s v="A renouveller"/>
    <x v="279"/>
    <x v="279"/>
  </r>
  <r>
    <x v="280"/>
    <x v="2"/>
    <n v="14822737470"/>
    <s v="Banque Populaire"/>
    <x v="9"/>
    <s v="45578/2023/1"/>
    <x v="0"/>
    <s v="OK"/>
    <n v="0.5"/>
    <d v="2023-02-03T00:00:00"/>
    <d v="2024-08-03T00:00:00"/>
    <s v="Réglé"/>
    <d v="2023-03-02T00:00:00"/>
    <d v="2023-06-11T00:00:00"/>
    <s v="DOUNIALI"/>
    <s v="Tamwilcom"/>
    <d v="2024-05-04T00:00:00"/>
    <m/>
    <s v="65831/2023/1"/>
    <s v="6368/2024/PO/DRE/CAC/ND"/>
    <n v="2424804"/>
    <n v="1454882.4"/>
    <n v="242480.40000000002"/>
    <d v="2024-02-22T00:00:00"/>
    <s v="OK"/>
    <s v="Echue"/>
    <x v="0"/>
    <s v="KO"/>
    <s v="OK"/>
    <s v="Valide"/>
    <x v="280"/>
    <x v="280"/>
  </r>
  <r>
    <x v="281"/>
    <x v="2"/>
    <n v="93328024065"/>
    <s v="Maghreb Steel"/>
    <x v="1"/>
    <s v="98206/2023/1"/>
    <x v="1"/>
    <s v="KO"/>
    <n v="0.7"/>
    <d v="2023-03-19T00:00:00"/>
    <d v="2024-09-19T00:00:00"/>
    <s v="Réglé"/>
    <d v="2023-07-07T00:00:00"/>
    <d v="2024-02-12T00:00:00"/>
    <s v="OCTROI"/>
    <s v="Tamwilcom"/>
    <d v="2024-05-26T00:00:00"/>
    <m/>
    <s v="71485/2023/1"/>
    <s v="8491/2024/PO/DRE/CAC/ND"/>
    <n v="4331585"/>
    <n v="2598951"/>
    <n v="433158.5"/>
    <d v="2024-08-17T00:00:00"/>
    <s v="KO"/>
    <s v="Echue"/>
    <x v="0"/>
    <s v="KO"/>
    <s v="KO"/>
    <s v="A renouveller"/>
    <x v="281"/>
    <x v="281"/>
  </r>
  <r>
    <x v="282"/>
    <x v="2"/>
    <n v="14350900687"/>
    <s v="Managem"/>
    <x v="3"/>
    <s v="67092/2023/1"/>
    <x v="1"/>
    <s v="OK"/>
    <n v="0.6"/>
    <d v="2023-12-16T00:00:00"/>
    <d v="2025-06-16T00:00:00"/>
    <s v="Réglé"/>
    <d v="2023-10-01T00:00:00"/>
    <d v="2024-12-14T00:00:00"/>
    <s v="OCTROI"/>
    <s v="Tamwilcom"/>
    <d v="2024-12-27T00:00:00"/>
    <m/>
    <s v="78978/2023/1"/>
    <s v="8499/2024/PO/DRE/CAC/ND"/>
    <n v="4567991"/>
    <n v="2740794.6"/>
    <n v="456799.10000000003"/>
    <d v="2024-04-23T00:00:00"/>
    <s v="OK"/>
    <s v="Valide"/>
    <x v="1"/>
    <s v="OK"/>
    <s v="OK"/>
    <s v="A renouveller"/>
    <x v="282"/>
    <x v="282"/>
  </r>
  <r>
    <x v="283"/>
    <x v="2"/>
    <n v="15657031586"/>
    <s v="Managem"/>
    <x v="6"/>
    <s v="97915/2023/1"/>
    <x v="0"/>
    <s v="OK"/>
    <n v="0.7"/>
    <d v="2023-03-31T00:00:00"/>
    <d v="2024-09-30T00:00:00"/>
    <s v="Pas réglé"/>
    <m/>
    <m/>
    <m/>
    <m/>
    <m/>
    <m/>
    <s v="12185/2023/1"/>
    <s v="4653/2024/PO/DRE/CAC/ND"/>
    <n v="7518919"/>
    <n v="4511351.3999999994"/>
    <n v="751891.9"/>
    <d v="2024-01-29T00:00:00"/>
    <s v="OK"/>
    <s v="Valide"/>
    <x v="1"/>
    <s v="OK"/>
    <s v="OK"/>
    <s v="A renouveller"/>
    <x v="283"/>
    <x v="283"/>
  </r>
  <r>
    <x v="284"/>
    <x v="2"/>
    <n v="31283619428"/>
    <s v="Cosumar"/>
    <x v="0"/>
    <s v="57320/2023/1"/>
    <x v="0"/>
    <s v="KO"/>
    <n v="0.7"/>
    <d v="2023-05-23T00:00:00"/>
    <d v="2024-11-23T00:00:00"/>
    <s v="Pas réglé"/>
    <m/>
    <m/>
    <m/>
    <m/>
    <m/>
    <m/>
    <s v="74852/2023/1"/>
    <s v="9514/2024/PO/DRE/CAC/ND"/>
    <n v="5699678"/>
    <n v="3419806.8"/>
    <n v="569967.80000000005"/>
    <d v="2024-09-21T00:00:00"/>
    <s v="KO"/>
    <s v="Valide"/>
    <x v="1"/>
    <s v="KO"/>
    <s v="KO"/>
    <s v="A renouveller"/>
    <x v="284"/>
    <x v="284"/>
  </r>
  <r>
    <x v="285"/>
    <x v="2"/>
    <n v="90102895514"/>
    <s v="2M Atlas"/>
    <x v="7"/>
    <s v="68187/2023/1"/>
    <x v="0"/>
    <s v="KO"/>
    <n v="0.6"/>
    <d v="2023-08-09T00:00:00"/>
    <d v="2025-02-09T00:00:00"/>
    <s v="Pas réglé"/>
    <m/>
    <m/>
    <m/>
    <m/>
    <m/>
    <m/>
    <s v="86531/2023/1"/>
    <s v="2742/2024/PO/DRE/CAC/ND"/>
    <n v="1839502"/>
    <n v="1103701.2"/>
    <n v="183950.2"/>
    <d v="2024-09-26T00:00:00"/>
    <s v="KO"/>
    <s v="Valide"/>
    <x v="1"/>
    <s v="OK"/>
    <s v="KO"/>
    <s v="A renouveller"/>
    <x v="285"/>
    <x v="285"/>
  </r>
  <r>
    <x v="286"/>
    <x v="2"/>
    <n v="95828028610"/>
    <s v="Managem"/>
    <x v="6"/>
    <s v="83376/2023/1"/>
    <x v="1"/>
    <s v="OK"/>
    <n v="0.6"/>
    <d v="2023-02-10T00:00:00"/>
    <d v="2024-08-10T00:00:00"/>
    <s v="Réglé"/>
    <d v="2023-12-19T00:00:00"/>
    <d v="2023-09-29T00:00:00"/>
    <s v="DOUNIALI"/>
    <s v="Tamwilcom"/>
    <d v="2024-07-02T00:00:00"/>
    <m/>
    <s v="84233/2023/1"/>
    <s v="9088/2024/PO/DRE/CAC/ND"/>
    <n v="2202840"/>
    <n v="1321704"/>
    <n v="220284"/>
    <d v="2024-02-23T00:00:00"/>
    <s v="OK"/>
    <s v="Valide"/>
    <x v="1"/>
    <s v="KO"/>
    <s v="OK"/>
    <s v="A renouveller"/>
    <x v="286"/>
    <x v="286"/>
  </r>
  <r>
    <x v="287"/>
    <x v="2"/>
    <n v="43755167200"/>
    <s v="Ciments du Maroc"/>
    <x v="9"/>
    <s v="86681/2023/1"/>
    <x v="1"/>
    <s v="OK"/>
    <n v="0.6"/>
    <d v="2023-03-02T00:00:00"/>
    <d v="2024-09-02T00:00:00"/>
    <s v="Pas réglé"/>
    <m/>
    <m/>
    <m/>
    <m/>
    <m/>
    <m/>
    <s v="64365/2023/1"/>
    <s v="1195/2024/PO/DRE/CAC/ND"/>
    <n v="7533038"/>
    <n v="4519822.8"/>
    <n v="753303.8"/>
    <d v="2024-03-11T00:00:00"/>
    <s v="OK"/>
    <s v="Valide"/>
    <x v="1"/>
    <s v="KO"/>
    <s v="OK"/>
    <s v="A renouveller"/>
    <x v="287"/>
    <x v="287"/>
  </r>
  <r>
    <x v="288"/>
    <x v="2"/>
    <n v="97425898714"/>
    <s v="Cosumar"/>
    <x v="6"/>
    <s v="94551/2023/1"/>
    <x v="1"/>
    <s v="OK"/>
    <n v="0.7"/>
    <d v="2023-06-11T00:00:00"/>
    <d v="2024-12-11T00:00:00"/>
    <s v="Pas réglé"/>
    <m/>
    <m/>
    <m/>
    <m/>
    <m/>
    <m/>
    <s v="53223/2023/1"/>
    <s v="9096/2024/PO/DRE/CAC/ND"/>
    <n v="6213290"/>
    <n v="3727974"/>
    <n v="621329"/>
    <d v="2024-03-24T00:00:00"/>
    <s v="OK"/>
    <s v="Echue"/>
    <x v="0"/>
    <s v="KO"/>
    <s v="OK"/>
    <s v="A renouveller"/>
    <x v="288"/>
    <x v="288"/>
  </r>
  <r>
    <x v="289"/>
    <x v="2"/>
    <n v="61827109730"/>
    <s v="Ciments du Maroc"/>
    <x v="5"/>
    <s v="36901/2023/1"/>
    <x v="0"/>
    <s v="KO"/>
    <n v="0.5"/>
    <d v="2023-01-03T00:00:00"/>
    <d v="2024-07-03T00:00:00"/>
    <s v="Pas réglé"/>
    <m/>
    <m/>
    <m/>
    <m/>
    <m/>
    <m/>
    <s v="58836/2023/1"/>
    <s v="1185/2024/PO/DRE/CAC/ND"/>
    <n v="2960057"/>
    <n v="1776034.2"/>
    <n v="296005.7"/>
    <d v="2024-07-22T00:00:00"/>
    <s v="KO"/>
    <s v="Echue"/>
    <x v="0"/>
    <s v="KO"/>
    <s v="KO"/>
    <s v="A renouveller"/>
    <x v="289"/>
    <x v="289"/>
  </r>
  <r>
    <x v="290"/>
    <x v="2"/>
    <n v="99183734153"/>
    <s v="Ciments du Maroc"/>
    <x v="1"/>
    <s v="70367/2023/1"/>
    <x v="1"/>
    <s v="KO"/>
    <n v="0.6"/>
    <d v="2023-10-18T00:00:00"/>
    <d v="2025-04-18T00:00:00"/>
    <s v="Pas réglé"/>
    <m/>
    <m/>
    <m/>
    <m/>
    <m/>
    <m/>
    <s v="90205/2023/1"/>
    <s v="1939/2024/PO/DRE/CAC/ND"/>
    <n v="9807170"/>
    <n v="5884302"/>
    <n v="980717"/>
    <d v="2024-07-29T00:00:00"/>
    <s v="KO"/>
    <s v="Echue"/>
    <x v="0"/>
    <s v="KO"/>
    <s v="KO"/>
    <s v="Valide"/>
    <x v="290"/>
    <x v="290"/>
  </r>
  <r>
    <x v="291"/>
    <x v="2"/>
    <n v="74442788126"/>
    <s v="Banque Populaire"/>
    <x v="5"/>
    <s v="48305/2023/1"/>
    <x v="1"/>
    <s v="KO"/>
    <n v="0.5"/>
    <d v="2023-08-30T00:00:00"/>
    <d v="2025-02-28T00:00:00"/>
    <s v="Pas réglé"/>
    <m/>
    <m/>
    <m/>
    <m/>
    <m/>
    <m/>
    <s v="19553/2023/1"/>
    <s v="5061/2024/PO/DRE/CAC/ND"/>
    <n v="3911730"/>
    <n v="2347038"/>
    <n v="391173"/>
    <d v="2024-05-14T00:00:00"/>
    <s v="KO"/>
    <s v="Valide"/>
    <x v="1"/>
    <s v="OK"/>
    <s v="KO"/>
    <s v="Valide"/>
    <x v="291"/>
    <x v="291"/>
  </r>
  <r>
    <x v="292"/>
    <x v="2"/>
    <n v="19580412634"/>
    <s v="BMCE Bank"/>
    <x v="2"/>
    <s v="76586/2023/1"/>
    <x v="0"/>
    <s v="KO"/>
    <n v="0.6"/>
    <d v="2023-03-17T00:00:00"/>
    <d v="2024-09-17T00:00:00"/>
    <s v="Pas réglé"/>
    <m/>
    <m/>
    <m/>
    <m/>
    <m/>
    <m/>
    <s v="14066/2023/1"/>
    <s v="9129/2024/PO/DRE/CAC/ND"/>
    <n v="1409052"/>
    <n v="845431.2"/>
    <n v="140905.20000000001"/>
    <d v="2024-11-27T00:00:00"/>
    <s v="KO"/>
    <s v="Echue"/>
    <x v="0"/>
    <s v="OK"/>
    <s v="KO"/>
    <s v="Valide"/>
    <x v="292"/>
    <x v="292"/>
  </r>
  <r>
    <x v="293"/>
    <x v="2"/>
    <n v="36180859921"/>
    <s v="Cosumar"/>
    <x v="6"/>
    <s v="60855/2023/1"/>
    <x v="0"/>
    <s v="OK"/>
    <n v="0.6"/>
    <d v="2023-12-16T00:00:00"/>
    <d v="2025-06-16T00:00:00"/>
    <s v="Pas réglé"/>
    <m/>
    <m/>
    <m/>
    <m/>
    <m/>
    <m/>
    <s v="78298/2023/1"/>
    <s v="2113/2024/PO/DRE/CAC/ND"/>
    <n v="4783311"/>
    <n v="2869986.6"/>
    <n v="478331.10000000003"/>
    <d v="2024-11-29T00:00:00"/>
    <s v="OK"/>
    <s v="Echue"/>
    <x v="0"/>
    <s v="OK"/>
    <s v="OK"/>
    <s v="Valide"/>
    <x v="293"/>
    <x v="293"/>
  </r>
  <r>
    <x v="294"/>
    <x v="2"/>
    <n v="11921540807"/>
    <s v="Cosumar"/>
    <x v="8"/>
    <s v="33270/2023/1"/>
    <x v="1"/>
    <s v="OK"/>
    <n v="0.6"/>
    <d v="2023-06-10T00:00:00"/>
    <d v="2024-12-10T00:00:00"/>
    <s v="Réglé"/>
    <d v="2023-11-15T00:00:00"/>
    <d v="2023-12-15T00:00:00"/>
    <s v="DOUNIALI"/>
    <s v="Front"/>
    <d v="2024-03-03T00:00:00"/>
    <m/>
    <s v="82123/2023/1"/>
    <s v="6309/2024/PO/DRE/CAC/ND"/>
    <n v="6000277"/>
    <n v="3600166.1999999997"/>
    <n v="600027.70000000007"/>
    <d v="2024-06-25T00:00:00"/>
    <s v="OK"/>
    <s v="Valide"/>
    <x v="1"/>
    <s v="OK"/>
    <s v="OK"/>
    <s v="Valide"/>
    <x v="294"/>
    <x v="294"/>
  </r>
  <r>
    <x v="295"/>
    <x v="2"/>
    <n v="44754783151"/>
    <s v="Ciments du Maroc"/>
    <x v="3"/>
    <s v="13929/2023/1"/>
    <x v="1"/>
    <s v="KO"/>
    <n v="0.6"/>
    <d v="2023-02-04T00:00:00"/>
    <d v="2024-08-04T00:00:00"/>
    <s v="Pas réglé"/>
    <m/>
    <m/>
    <m/>
    <m/>
    <m/>
    <m/>
    <s v="26348/2023/1"/>
    <s v="1753/2024/PO/DRE/CAC/ND"/>
    <n v="7025343"/>
    <n v="4215205.8"/>
    <n v="702534.3"/>
    <d v="2024-09-05T00:00:00"/>
    <s v="KO"/>
    <s v="Echue"/>
    <x v="0"/>
    <s v="KO"/>
    <s v="KO"/>
    <s v="Valide"/>
    <x v="295"/>
    <x v="295"/>
  </r>
  <r>
    <x v="296"/>
    <x v="2"/>
    <n v="22904334511"/>
    <s v="Maghreb Steel"/>
    <x v="6"/>
    <s v="31627/2023/1"/>
    <x v="0"/>
    <s v="KO"/>
    <n v="0.7"/>
    <d v="2023-01-17T00:00:00"/>
    <d v="2024-07-17T00:00:00"/>
    <s v="Réglé"/>
    <d v="2023-11-12T00:00:00"/>
    <d v="2023-09-07T00:00:00"/>
    <s v="DOUNIALI"/>
    <s v="Front"/>
    <d v="2024-02-08T00:00:00"/>
    <m/>
    <s v="27365/2023/1"/>
    <s v="9465/2024/PO/DRE/CAC/ND"/>
    <n v="1425312"/>
    <n v="855187.2"/>
    <n v="142531.20000000001"/>
    <d v="2024-11-20T00:00:00"/>
    <s v="KO"/>
    <s v="Valide"/>
    <x v="1"/>
    <s v="KO"/>
    <s v="KO"/>
    <s v="Valide"/>
    <x v="296"/>
    <x v="296"/>
  </r>
  <r>
    <x v="297"/>
    <x v="2"/>
    <n v="90333449470"/>
    <s v="Société Générale Maroc"/>
    <x v="5"/>
    <s v="66998/2023/1"/>
    <x v="0"/>
    <s v="KO"/>
    <n v="0.6"/>
    <d v="2023-09-23T00:00:00"/>
    <d v="2025-03-23T00:00:00"/>
    <s v="Pas réglé"/>
    <m/>
    <m/>
    <m/>
    <m/>
    <m/>
    <m/>
    <s v="43231/2023/1"/>
    <s v="3010/2024/PO/DRE/CAC/ND"/>
    <n v="8947069"/>
    <n v="5368241.3999999994"/>
    <n v="894706.9"/>
    <d v="2024-11-10T00:00:00"/>
    <s v="KO"/>
    <s v="Valide"/>
    <x v="1"/>
    <s v="OK"/>
    <s v="KO"/>
    <s v="A renouveller"/>
    <x v="297"/>
    <x v="297"/>
  </r>
  <r>
    <x v="298"/>
    <x v="3"/>
    <n v="83579924493"/>
    <s v="Cosumar"/>
    <x v="5"/>
    <s v="91779/2023/1"/>
    <x v="0"/>
    <s v="OK"/>
    <n v="0.6"/>
    <d v="2023-06-13T00:00:00"/>
    <d v="2024-12-13T00:00:00"/>
    <s v="Pas réglé"/>
    <m/>
    <m/>
    <m/>
    <m/>
    <m/>
    <m/>
    <s v="25909/2023/1"/>
    <s v="4665/2024/PO/DRE/CAC/ND"/>
    <n v="4575472"/>
    <n v="2745283.1999999997"/>
    <n v="457547.2"/>
    <d v="2024-01-31T00:00:00"/>
    <s v="OK"/>
    <s v="Valide"/>
    <x v="1"/>
    <s v="OK"/>
    <s v="OK"/>
    <s v="A renouveller"/>
    <x v="298"/>
    <x v="298"/>
  </r>
  <r>
    <x v="299"/>
    <x v="3"/>
    <n v="65155394442"/>
    <s v="Maghreb Steel"/>
    <x v="7"/>
    <s v="44947/2023/1"/>
    <x v="0"/>
    <s v="OK"/>
    <n v="0.5"/>
    <d v="2023-03-29T00:00:00"/>
    <d v="2024-09-29T00:00:00"/>
    <s v="Réglé"/>
    <d v="2023-05-20T00:00:00"/>
    <d v="2023-08-25T00:00:00"/>
    <s v="DOUNIALI"/>
    <s v="Tamwilcom"/>
    <d v="2024-03-04T00:00:00"/>
    <m/>
    <s v="12479/2023/1"/>
    <s v="6007/2024/PO/DRE/CAC/ND"/>
    <n v="2555441"/>
    <n v="1533264.5999999999"/>
    <n v="255544.1"/>
    <d v="2024-09-08T00:00:00"/>
    <s v="OK"/>
    <s v="Echue"/>
    <x v="0"/>
    <s v="OK"/>
    <s v="OK"/>
    <s v="A renouveller"/>
    <x v="299"/>
    <x v="299"/>
  </r>
  <r>
    <x v="300"/>
    <x v="3"/>
    <n v="86360720855"/>
    <s v="Société Générale Maroc"/>
    <x v="7"/>
    <s v="96940/2023/1"/>
    <x v="0"/>
    <s v="KO"/>
    <n v="0.6"/>
    <d v="2023-04-05T00:00:00"/>
    <d v="2024-10-05T00:00:00"/>
    <s v="Réglé"/>
    <d v="2023-02-19T00:00:00"/>
    <d v="2023-09-16T00:00:00"/>
    <s v="DOUNIALI"/>
    <s v="Front"/>
    <d v="2024-04-12T00:00:00"/>
    <m/>
    <s v="91746/2023/1"/>
    <s v="8447/2024/PO/DRE/CAC/ND"/>
    <n v="8400882"/>
    <n v="5040529.2"/>
    <n v="840088.20000000007"/>
    <d v="2024-09-18T00:00:00"/>
    <s v="KO"/>
    <s v="Echue"/>
    <x v="0"/>
    <s v="KO"/>
    <s v="KO"/>
    <s v="Valide"/>
    <x v="300"/>
    <x v="300"/>
  </r>
  <r>
    <x v="301"/>
    <x v="3"/>
    <n v="57095014300"/>
    <s v="Banque Populaire"/>
    <x v="3"/>
    <s v="60653/2023/1"/>
    <x v="1"/>
    <s v="OK"/>
    <n v="0.7"/>
    <d v="2023-12-17T00:00:00"/>
    <d v="2025-06-17T00:00:00"/>
    <s v="Réglé"/>
    <d v="2023-06-30T00:00:00"/>
    <d v="2024-04-06T00:00:00"/>
    <s v="OCTROI"/>
    <s v="Tamwilcom"/>
    <d v="2024-05-04T00:00:00"/>
    <m/>
    <s v="88429/2023/1"/>
    <s v="1355/2024/PO/DRE/CAC/ND"/>
    <n v="9190116"/>
    <n v="5514069.5999999996"/>
    <n v="919011.60000000009"/>
    <d v="2024-02-08T00:00:00"/>
    <s v="OK"/>
    <s v="Echue"/>
    <x v="0"/>
    <s v="OK"/>
    <s v="OK"/>
    <s v="A renouveller"/>
    <x v="301"/>
    <x v="301"/>
  </r>
  <r>
    <x v="302"/>
    <x v="3"/>
    <n v="74476106353"/>
    <s v="Cosumar"/>
    <x v="6"/>
    <s v="99607/2023/1"/>
    <x v="1"/>
    <s v="OK"/>
    <n v="0.7"/>
    <d v="2023-06-04T00:00:00"/>
    <d v="2024-12-04T00:00:00"/>
    <s v="Pas réglé"/>
    <m/>
    <m/>
    <m/>
    <m/>
    <m/>
    <m/>
    <s v="90943/2023/1"/>
    <s v="1441/2024/PO/DRE/CAC/ND"/>
    <n v="2156414"/>
    <n v="1293848.3999999999"/>
    <n v="215641.40000000002"/>
    <d v="2024-08-29T00:00:00"/>
    <s v="OK"/>
    <s v="Echue"/>
    <x v="0"/>
    <s v="KO"/>
    <s v="OK"/>
    <s v="A renouveller"/>
    <x v="302"/>
    <x v="302"/>
  </r>
  <r>
    <x v="303"/>
    <x v="3"/>
    <n v="80578085777"/>
    <s v="Maghreb Steel"/>
    <x v="0"/>
    <s v="94855/2023/1"/>
    <x v="0"/>
    <s v="OK"/>
    <n v="0.5"/>
    <d v="2023-01-30T00:00:00"/>
    <d v="2024-07-30T00:00:00"/>
    <s v="Réglé"/>
    <d v="2023-05-27T00:00:00"/>
    <d v="2023-03-22T00:00:00"/>
    <s v="OCTROI"/>
    <s v="Tamwilcom"/>
    <d v="2024-03-26T00:00:00"/>
    <m/>
    <s v="26870/2023/1"/>
    <s v="9289/2024/PO/DRE/CAC/ND"/>
    <n v="8535451"/>
    <n v="5121270.5999999996"/>
    <n v="853545.10000000009"/>
    <d v="2024-12-17T00:00:00"/>
    <s v="OK"/>
    <s v="Echue"/>
    <x v="0"/>
    <s v="OK"/>
    <s v="OK"/>
    <s v="A renouveller"/>
    <x v="303"/>
    <x v="303"/>
  </r>
  <r>
    <x v="304"/>
    <x v="3"/>
    <n v="33304354480"/>
    <s v="Banque Populaire"/>
    <x v="8"/>
    <s v="19106/2023/1"/>
    <x v="1"/>
    <s v="OK"/>
    <n v="0.5"/>
    <d v="2023-11-20T00:00:00"/>
    <d v="2025-05-20T00:00:00"/>
    <s v="Réglé"/>
    <d v="2023-03-05T00:00:00"/>
    <d v="2024-04-28T00:00:00"/>
    <s v="OCTROI"/>
    <s v="Front"/>
    <d v="2024-08-22T00:00:00"/>
    <m/>
    <s v="94359/2023/1"/>
    <s v="2751/2024/PO/DRE/CAC/ND"/>
    <n v="7228120"/>
    <n v="4336872"/>
    <n v="722812"/>
    <d v="2024-08-19T00:00:00"/>
    <s v="OK"/>
    <s v="Echue"/>
    <x v="0"/>
    <s v="KO"/>
    <s v="OK"/>
    <s v="A renouveller"/>
    <x v="304"/>
    <x v="304"/>
  </r>
  <r>
    <x v="305"/>
    <x v="3"/>
    <n v="58116706721"/>
    <s v="Ciments du Maroc"/>
    <x v="5"/>
    <s v="30814/2023/1"/>
    <x v="0"/>
    <s v="KO"/>
    <n v="0.6"/>
    <d v="2023-12-30T00:00:00"/>
    <d v="2025-06-30T00:00:00"/>
    <s v="Pas réglé"/>
    <m/>
    <m/>
    <m/>
    <m/>
    <m/>
    <m/>
    <s v="90135/2023/1"/>
    <s v="4578/2024/PO/DRE/CAC/ND"/>
    <n v="1036352"/>
    <n v="621811.19999999995"/>
    <n v="103635.20000000001"/>
    <d v="2024-02-29T00:00:00"/>
    <s v="KO"/>
    <s v="Valide"/>
    <x v="1"/>
    <s v="OK"/>
    <s v="KO"/>
    <s v="A renouveller"/>
    <x v="305"/>
    <x v="305"/>
  </r>
  <r>
    <x v="306"/>
    <x v="3"/>
    <n v="28464991020"/>
    <s v="2M Atlas"/>
    <x v="5"/>
    <s v="16337/2023/1"/>
    <x v="1"/>
    <s v="OK"/>
    <n v="0.6"/>
    <d v="2023-03-11T00:00:00"/>
    <d v="2024-09-11T00:00:00"/>
    <s v="Réglé"/>
    <d v="2023-04-20T00:00:00"/>
    <d v="2023-05-26T00:00:00"/>
    <s v="DOUNIALI"/>
    <s v="Front"/>
    <d v="2024-08-24T00:00:00"/>
    <m/>
    <s v="72145/2023/1"/>
    <s v="7681/2024/PO/DRE/CAC/ND"/>
    <n v="7762482"/>
    <n v="4657489.2"/>
    <n v="776248.20000000007"/>
    <d v="2024-03-03T00:00:00"/>
    <s v="OK"/>
    <s v="Valide"/>
    <x v="1"/>
    <s v="KO"/>
    <s v="OK"/>
    <s v="Valide"/>
    <x v="306"/>
    <x v="306"/>
  </r>
  <r>
    <x v="307"/>
    <x v="3"/>
    <n v="49660732382"/>
    <s v="Maroc Telecom"/>
    <x v="2"/>
    <s v="89860/2023/1"/>
    <x v="0"/>
    <s v="OK"/>
    <n v="0.7"/>
    <d v="2023-04-08T00:00:00"/>
    <d v="2024-10-08T00:00:00"/>
    <s v="Pas réglé"/>
    <m/>
    <m/>
    <m/>
    <m/>
    <m/>
    <m/>
    <s v="59971/2023/1"/>
    <s v="8936/2024/PO/DRE/CAC/ND"/>
    <n v="7023939"/>
    <n v="4214363.3999999994"/>
    <n v="702393.9"/>
    <d v="2024-11-19T00:00:00"/>
    <s v="OK"/>
    <s v="Valide"/>
    <x v="1"/>
    <s v="OK"/>
    <s v="OK"/>
    <s v="A renouveller"/>
    <x v="307"/>
    <x v="307"/>
  </r>
  <r>
    <x v="308"/>
    <x v="3"/>
    <n v="10941113130"/>
    <s v="BMCE Bank"/>
    <x v="1"/>
    <s v="10916/2023/1"/>
    <x v="1"/>
    <s v="OK"/>
    <n v="0.5"/>
    <d v="2023-12-17T00:00:00"/>
    <d v="2025-06-17T00:00:00"/>
    <s v="Pas réglé"/>
    <m/>
    <m/>
    <m/>
    <m/>
    <m/>
    <m/>
    <s v="55816/2023/1"/>
    <s v="2837/2024/PO/DRE/CAC/ND"/>
    <n v="2093208"/>
    <n v="1255924.8"/>
    <n v="209320.80000000002"/>
    <d v="2024-07-21T00:00:00"/>
    <s v="OK"/>
    <s v="Valide"/>
    <x v="1"/>
    <s v="OK"/>
    <s v="OK"/>
    <s v="Valide"/>
    <x v="308"/>
    <x v="308"/>
  </r>
  <r>
    <x v="309"/>
    <x v="3"/>
    <n v="50593399622"/>
    <s v="Société Générale Maroc"/>
    <x v="6"/>
    <s v="75603/2023/1"/>
    <x v="0"/>
    <s v="OK"/>
    <n v="0.5"/>
    <d v="2023-08-08T00:00:00"/>
    <d v="2025-02-08T00:00:00"/>
    <s v="Réglé"/>
    <d v="2023-01-07T00:00:00"/>
    <d v="2024-05-14T00:00:00"/>
    <s v="DOUNIALI"/>
    <s v="Front"/>
    <d v="2024-08-13T00:00:00"/>
    <m/>
    <s v="14628/2023/1"/>
    <s v="3549/2024/PO/DRE/CAC/ND"/>
    <n v="1556696"/>
    <n v="934017.6"/>
    <n v="155669.6"/>
    <d v="2024-12-28T00:00:00"/>
    <s v="OK"/>
    <s v="Echue"/>
    <x v="0"/>
    <s v="OK"/>
    <s v="OK"/>
    <s v="A renouveller"/>
    <x v="309"/>
    <x v="309"/>
  </r>
  <r>
    <x v="310"/>
    <x v="3"/>
    <n v="36198900777"/>
    <s v="Maghreb Steel"/>
    <x v="5"/>
    <s v="35753/2023/1"/>
    <x v="0"/>
    <s v="KO"/>
    <n v="0.5"/>
    <d v="2023-08-02T00:00:00"/>
    <d v="2025-02-02T00:00:00"/>
    <s v="Réglé"/>
    <d v="2023-08-31T00:00:00"/>
    <d v="2024-01-13T00:00:00"/>
    <s v="OCTROI"/>
    <s v="Front"/>
    <d v="2024-01-05T00:00:00"/>
    <m/>
    <s v="35413/2023/1"/>
    <s v="8237/2024/PO/DRE/CAC/ND"/>
    <n v="8956168"/>
    <n v="5373700.7999999998"/>
    <n v="895616.8"/>
    <d v="2024-08-03T00:00:00"/>
    <s v="KO"/>
    <s v="Echue"/>
    <x v="0"/>
    <s v="KO"/>
    <s v="KO"/>
    <s v="Valide"/>
    <x v="310"/>
    <x v="310"/>
  </r>
  <r>
    <x v="311"/>
    <x v="3"/>
    <n v="50654538068"/>
    <s v="Société Générale Maroc"/>
    <x v="8"/>
    <s v="28297/2023/1"/>
    <x v="0"/>
    <s v="OK"/>
    <n v="0.6"/>
    <d v="2023-05-18T00:00:00"/>
    <d v="2024-11-18T00:00:00"/>
    <s v="Réglé"/>
    <d v="2023-12-15T00:00:00"/>
    <d v="2024-03-12T00:00:00"/>
    <s v="OCTROI"/>
    <s v="Front"/>
    <d v="2024-03-14T00:00:00"/>
    <m/>
    <s v="60748/2023/1"/>
    <s v="4108/2024/PO/DRE/CAC/ND"/>
    <n v="3080410"/>
    <n v="1848246"/>
    <n v="308041"/>
    <d v="2024-10-21T00:00:00"/>
    <s v="OK"/>
    <s v="Echue"/>
    <x v="0"/>
    <s v="OK"/>
    <s v="OK"/>
    <s v="A renouveller"/>
    <x v="311"/>
    <x v="311"/>
  </r>
  <r>
    <x v="312"/>
    <x v="3"/>
    <n v="88499965088"/>
    <s v="2M Atlas"/>
    <x v="3"/>
    <s v="96225/2023/1"/>
    <x v="0"/>
    <s v="KO"/>
    <n v="0.7"/>
    <d v="2023-02-17T00:00:00"/>
    <d v="2024-08-17T00:00:00"/>
    <s v="Réglé"/>
    <d v="2023-08-02T00:00:00"/>
    <d v="2023-07-01T00:00:00"/>
    <s v="DOUNIALI"/>
    <s v="Tamwilcom"/>
    <d v="2024-01-07T00:00:00"/>
    <m/>
    <s v="45263/2023/1"/>
    <s v="2531/2024/PO/DRE/CAC/ND"/>
    <n v="8980314"/>
    <n v="5388188.3999999994"/>
    <n v="898031.4"/>
    <d v="2024-04-29T00:00:00"/>
    <s v="KO"/>
    <s v="Valide"/>
    <x v="1"/>
    <s v="OK"/>
    <s v="KO"/>
    <s v="Valide"/>
    <x v="312"/>
    <x v="312"/>
  </r>
  <r>
    <x v="313"/>
    <x v="3"/>
    <n v="58176824479"/>
    <s v="2M Atlas"/>
    <x v="7"/>
    <s v="67052/2023/1"/>
    <x v="0"/>
    <s v="OK"/>
    <n v="0.6"/>
    <d v="2023-08-22T00:00:00"/>
    <d v="2025-02-22T00:00:00"/>
    <s v="Réglé"/>
    <d v="2023-03-26T00:00:00"/>
    <d v="2023-10-26T00:00:00"/>
    <s v="OCTROI"/>
    <s v="Tamwilcom"/>
    <d v="2024-11-07T00:00:00"/>
    <m/>
    <s v="28335/2023/1"/>
    <s v="3053/2024/PO/DRE/CAC/ND"/>
    <n v="8949504"/>
    <n v="5369702.3999999994"/>
    <n v="894950.40000000002"/>
    <d v="2024-09-05T00:00:00"/>
    <s v="OK"/>
    <s v="Echue"/>
    <x v="0"/>
    <s v="KO"/>
    <s v="OK"/>
    <s v="Valide"/>
    <x v="313"/>
    <x v="313"/>
  </r>
  <r>
    <x v="314"/>
    <x v="3"/>
    <n v="37580754018"/>
    <s v="Managem"/>
    <x v="7"/>
    <s v="47271/2023/1"/>
    <x v="0"/>
    <s v="OK"/>
    <n v="0.6"/>
    <d v="2023-02-03T00:00:00"/>
    <d v="2024-08-03T00:00:00"/>
    <s v="Pas réglé"/>
    <m/>
    <m/>
    <m/>
    <m/>
    <m/>
    <m/>
    <s v="44280/2023/1"/>
    <s v="1431/2024/PO/DRE/CAC/ND"/>
    <n v="1355919"/>
    <n v="813551.4"/>
    <n v="135591.9"/>
    <d v="2024-08-14T00:00:00"/>
    <s v="OK"/>
    <s v="Valide"/>
    <x v="1"/>
    <s v="KO"/>
    <s v="OK"/>
    <s v="Valide"/>
    <x v="314"/>
    <x v="314"/>
  </r>
  <r>
    <x v="315"/>
    <x v="3"/>
    <n v="72160923027"/>
    <s v="Maroc Telecom"/>
    <x v="9"/>
    <s v="91079/2023/1"/>
    <x v="1"/>
    <s v="KO"/>
    <n v="0.6"/>
    <d v="2023-07-18T00:00:00"/>
    <d v="2025-01-18T00:00:00"/>
    <s v="Réglé"/>
    <d v="2023-01-14T00:00:00"/>
    <d v="2024-04-24T00:00:00"/>
    <s v="OCTROI"/>
    <s v="Tamwilcom"/>
    <d v="2024-08-06T00:00:00"/>
    <m/>
    <s v="44553/2023/1"/>
    <s v="1634/2024/PO/DRE/CAC/ND"/>
    <n v="2642214"/>
    <n v="1585328.4"/>
    <n v="264221.40000000002"/>
    <d v="2024-01-12T00:00:00"/>
    <s v="KO"/>
    <s v="Echue"/>
    <x v="0"/>
    <s v="KO"/>
    <s v="KO"/>
    <s v="A renouveller"/>
    <x v="315"/>
    <x v="315"/>
  </r>
  <r>
    <x v="316"/>
    <x v="3"/>
    <n v="15450731894"/>
    <s v="Cosumar"/>
    <x v="2"/>
    <s v="26663/2023/1"/>
    <x v="0"/>
    <s v="OK"/>
    <n v="0.6"/>
    <d v="2023-11-03T00:00:00"/>
    <d v="2025-05-03T00:00:00"/>
    <s v="Réglé"/>
    <d v="2023-05-28T00:00:00"/>
    <d v="2023-11-25T00:00:00"/>
    <s v="DOUNIALI"/>
    <s v="Tamwilcom"/>
    <d v="2024-01-17T00:00:00"/>
    <m/>
    <s v="61731/2023/1"/>
    <s v="9806/2024/PO/DRE/CAC/ND"/>
    <n v="9013098"/>
    <n v="5407858.7999999998"/>
    <n v="901309.8"/>
    <d v="2024-03-07T00:00:00"/>
    <s v="OK"/>
    <s v="Echue"/>
    <x v="0"/>
    <s v="OK"/>
    <s v="OK"/>
    <s v="A renouveller"/>
    <x v="316"/>
    <x v="316"/>
  </r>
  <r>
    <x v="317"/>
    <x v="3"/>
    <n v="52117809786"/>
    <s v="Managem"/>
    <x v="4"/>
    <s v="29660/2023/1"/>
    <x v="0"/>
    <s v="KO"/>
    <n v="0.6"/>
    <d v="2023-01-01T00:00:00"/>
    <d v="2024-07-01T00:00:00"/>
    <s v="Réglé"/>
    <d v="2023-10-18T00:00:00"/>
    <d v="2023-12-09T00:00:00"/>
    <s v="DOUNIALI"/>
    <s v="Tamwilcom"/>
    <d v="2024-12-27T00:00:00"/>
    <m/>
    <s v="63371/2023/1"/>
    <s v="4160/2024/PO/DRE/CAC/ND"/>
    <n v="7862688"/>
    <n v="4717612.8"/>
    <n v="786268.8"/>
    <d v="2024-08-29T00:00:00"/>
    <s v="KO"/>
    <s v="Echue"/>
    <x v="0"/>
    <s v="KO"/>
    <s v="KO"/>
    <s v="A renouveller"/>
    <x v="317"/>
    <x v="317"/>
  </r>
  <r>
    <x v="318"/>
    <x v="3"/>
    <n v="76556099919"/>
    <s v="Cosumar"/>
    <x v="7"/>
    <s v="24302/2023/1"/>
    <x v="1"/>
    <s v="OK"/>
    <n v="0.5"/>
    <d v="2023-09-01T00:00:00"/>
    <d v="2025-03-01T00:00:00"/>
    <s v="Pas réglé"/>
    <m/>
    <m/>
    <m/>
    <m/>
    <m/>
    <m/>
    <s v="56064/2023/1"/>
    <s v="2087/2024/PO/DRE/CAC/ND"/>
    <n v="1475398"/>
    <n v="885238.79999999993"/>
    <n v="147539.80000000002"/>
    <d v="2024-09-05T00:00:00"/>
    <s v="OK"/>
    <s v="Echue"/>
    <x v="0"/>
    <s v="KO"/>
    <s v="OK"/>
    <s v="A renouveller"/>
    <x v="318"/>
    <x v="318"/>
  </r>
  <r>
    <x v="319"/>
    <x v="3"/>
    <n v="41029292219"/>
    <s v="Maroc Telecom"/>
    <x v="2"/>
    <s v="51537/2023/1"/>
    <x v="0"/>
    <s v="KO"/>
    <n v="0.6"/>
    <d v="2023-12-17T00:00:00"/>
    <d v="2025-06-17T00:00:00"/>
    <s v="Réglé"/>
    <d v="2023-01-04T00:00:00"/>
    <d v="2024-03-02T00:00:00"/>
    <s v="DOUNIALI"/>
    <s v="Front"/>
    <d v="2024-10-12T00:00:00"/>
    <m/>
    <s v="45550/2023/1"/>
    <s v="2719/2024/PO/DRE/CAC/ND"/>
    <n v="3936430"/>
    <n v="2361858"/>
    <n v="393643"/>
    <d v="2024-07-07T00:00:00"/>
    <s v="KO"/>
    <s v="Valide"/>
    <x v="1"/>
    <s v="KO"/>
    <s v="KO"/>
    <s v="Valide"/>
    <x v="319"/>
    <x v="319"/>
  </r>
  <r>
    <x v="320"/>
    <x v="3"/>
    <n v="16390889055"/>
    <s v="Maghreb Steel"/>
    <x v="6"/>
    <s v="53476/2023/1"/>
    <x v="0"/>
    <s v="KO"/>
    <n v="0.6"/>
    <d v="2023-11-17T00:00:00"/>
    <d v="2025-05-17T00:00:00"/>
    <s v="Pas réglé"/>
    <m/>
    <m/>
    <m/>
    <m/>
    <m/>
    <m/>
    <s v="11143/2023/1"/>
    <s v="6733/2024/PO/DRE/CAC/ND"/>
    <n v="1239314"/>
    <n v="743588.4"/>
    <n v="123931.40000000001"/>
    <d v="2024-04-20T00:00:00"/>
    <s v="KO"/>
    <s v="Valide"/>
    <x v="1"/>
    <s v="KO"/>
    <s v="KO"/>
    <s v="Valide"/>
    <x v="320"/>
    <x v="320"/>
  </r>
  <r>
    <x v="321"/>
    <x v="3"/>
    <n v="60003459882"/>
    <s v="2M Atlas"/>
    <x v="3"/>
    <s v="79456/2023/1"/>
    <x v="0"/>
    <s v="KO"/>
    <n v="0.6"/>
    <d v="2023-02-21T00:00:00"/>
    <d v="2024-08-21T00:00:00"/>
    <s v="Pas réglé"/>
    <m/>
    <m/>
    <m/>
    <m/>
    <m/>
    <m/>
    <s v="24410/2023/1"/>
    <s v="2171/2024/PO/DRE/CAC/ND"/>
    <n v="7979890"/>
    <n v="4787934"/>
    <n v="797989"/>
    <d v="2024-10-03T00:00:00"/>
    <s v="KO"/>
    <s v="Echue"/>
    <x v="0"/>
    <s v="KO"/>
    <s v="KO"/>
    <s v="A renouveller"/>
    <x v="321"/>
    <x v="321"/>
  </r>
  <r>
    <x v="322"/>
    <x v="3"/>
    <n v="82668965269"/>
    <s v="2M Atlas"/>
    <x v="5"/>
    <s v="26941/2023/1"/>
    <x v="1"/>
    <s v="KO"/>
    <n v="0.5"/>
    <d v="2023-11-17T00:00:00"/>
    <d v="2025-05-17T00:00:00"/>
    <s v="Pas réglé"/>
    <m/>
    <m/>
    <m/>
    <m/>
    <m/>
    <m/>
    <s v="30562/2023/1"/>
    <s v="9093/2024/PO/DRE/CAC/ND"/>
    <n v="3267605"/>
    <n v="1960563"/>
    <n v="326760.5"/>
    <d v="2024-02-16T00:00:00"/>
    <s v="KO"/>
    <s v="Echue"/>
    <x v="0"/>
    <s v="OK"/>
    <s v="KO"/>
    <s v="A renouveller"/>
    <x v="322"/>
    <x v="322"/>
  </r>
  <r>
    <x v="323"/>
    <x v="3"/>
    <n v="37484066553"/>
    <s v="Maghreb Steel"/>
    <x v="2"/>
    <s v="58387/2023/1"/>
    <x v="0"/>
    <s v="OK"/>
    <n v="0.7"/>
    <d v="2023-10-10T00:00:00"/>
    <d v="2025-04-10T00:00:00"/>
    <s v="Pas réglé"/>
    <m/>
    <m/>
    <m/>
    <m/>
    <m/>
    <m/>
    <s v="62053/2023/1"/>
    <s v="5236/2024/PO/DRE/CAC/ND"/>
    <n v="1470749"/>
    <n v="882449.4"/>
    <n v="147074.9"/>
    <d v="2024-07-16T00:00:00"/>
    <s v="OK"/>
    <s v="Valide"/>
    <x v="1"/>
    <s v="OK"/>
    <s v="OK"/>
    <s v="A renouveller"/>
    <x v="323"/>
    <x v="323"/>
  </r>
  <r>
    <x v="324"/>
    <x v="3"/>
    <n v="96350595838"/>
    <s v="BMCE Bank"/>
    <x v="0"/>
    <s v="92701/2023/1"/>
    <x v="0"/>
    <s v="OK"/>
    <n v="0.7"/>
    <d v="2023-06-28T00:00:00"/>
    <d v="2024-12-28T00:00:00"/>
    <s v="Pas réglé"/>
    <m/>
    <m/>
    <m/>
    <m/>
    <m/>
    <m/>
    <s v="12461/2023/1"/>
    <s v="6781/2024/PO/DRE/CAC/ND"/>
    <n v="1277109"/>
    <n v="766265.4"/>
    <n v="127710.90000000001"/>
    <d v="2024-01-23T00:00:00"/>
    <s v="OK"/>
    <s v="Echue"/>
    <x v="0"/>
    <s v="KO"/>
    <s v="OK"/>
    <s v="A renouveller"/>
    <x v="324"/>
    <x v="324"/>
  </r>
  <r>
    <x v="325"/>
    <x v="3"/>
    <n v="86077305905"/>
    <s v="Ciments du Maroc"/>
    <x v="5"/>
    <s v="52744/2023/1"/>
    <x v="0"/>
    <s v="KO"/>
    <n v="0.6"/>
    <d v="2023-07-12T00:00:00"/>
    <d v="2025-01-12T00:00:00"/>
    <s v="Réglé"/>
    <d v="2023-11-14T00:00:00"/>
    <d v="2024-02-04T00:00:00"/>
    <s v="OCTROI"/>
    <s v="Front"/>
    <d v="2024-04-20T00:00:00"/>
    <m/>
    <s v="16854/2023/1"/>
    <s v="9375/2024/PO/DRE/CAC/ND"/>
    <n v="9838401"/>
    <n v="5903040.5999999996"/>
    <n v="983840.10000000009"/>
    <d v="2024-09-11T00:00:00"/>
    <s v="KO"/>
    <s v="Echue"/>
    <x v="0"/>
    <s v="OK"/>
    <s v="KO"/>
    <s v="A renouveller"/>
    <x v="325"/>
    <x v="325"/>
  </r>
  <r>
    <x v="326"/>
    <x v="3"/>
    <n v="87104375903"/>
    <s v="BMCE Bank"/>
    <x v="9"/>
    <s v="24542/2023/1"/>
    <x v="0"/>
    <s v="KO"/>
    <n v="0.7"/>
    <d v="2023-06-10T00:00:00"/>
    <d v="2024-12-10T00:00:00"/>
    <s v="Pas réglé"/>
    <m/>
    <m/>
    <m/>
    <m/>
    <m/>
    <m/>
    <s v="17196/2023/1"/>
    <s v="9096/2024/PO/DRE/CAC/ND"/>
    <n v="6257100"/>
    <n v="3754260"/>
    <n v="625710"/>
    <d v="2024-01-29T00:00:00"/>
    <s v="KO"/>
    <s v="Echue"/>
    <x v="0"/>
    <s v="KO"/>
    <s v="KO"/>
    <s v="Valide"/>
    <x v="326"/>
    <x v="326"/>
  </r>
  <r>
    <x v="327"/>
    <x v="3"/>
    <n v="36914977898"/>
    <s v="OCP Group"/>
    <x v="6"/>
    <s v="96098/2023/1"/>
    <x v="1"/>
    <s v="KO"/>
    <n v="0.7"/>
    <d v="2023-12-09T00:00:00"/>
    <d v="2025-06-09T00:00:00"/>
    <s v="Pas réglé"/>
    <m/>
    <m/>
    <m/>
    <m/>
    <m/>
    <m/>
    <s v="13893/2023/1"/>
    <s v="4104/2024/PO/DRE/CAC/ND"/>
    <n v="7192722"/>
    <n v="4315633.2"/>
    <n v="719272.20000000007"/>
    <d v="2024-05-04T00:00:00"/>
    <s v="KO"/>
    <s v="Valide"/>
    <x v="1"/>
    <s v="KO"/>
    <s v="KO"/>
    <s v="A renouveller"/>
    <x v="327"/>
    <x v="327"/>
  </r>
  <r>
    <x v="328"/>
    <x v="3"/>
    <n v="87146242401"/>
    <s v="2M Atlas"/>
    <x v="5"/>
    <s v="71721/2023/1"/>
    <x v="0"/>
    <s v="KO"/>
    <n v="0.6"/>
    <d v="2023-12-01T00:00:00"/>
    <d v="2025-06-01T00:00:00"/>
    <s v="Réglé"/>
    <d v="2023-04-14T00:00:00"/>
    <d v="2024-06-09T00:00:00"/>
    <s v="DOUNIALI"/>
    <s v="Tamwilcom"/>
    <d v="2024-12-29T00:00:00"/>
    <m/>
    <s v="92709/2023/1"/>
    <s v="7238/2024/PO/DRE/CAC/ND"/>
    <n v="3851946"/>
    <n v="2311167.6"/>
    <n v="385194.60000000003"/>
    <d v="2024-10-15T00:00:00"/>
    <s v="KO"/>
    <s v="Valide"/>
    <x v="1"/>
    <s v="OK"/>
    <s v="KO"/>
    <s v="Valide"/>
    <x v="328"/>
    <x v="328"/>
  </r>
  <r>
    <x v="329"/>
    <x v="3"/>
    <n v="27335283756"/>
    <s v="BMCE Bank"/>
    <x v="5"/>
    <s v="92365/2023/1"/>
    <x v="0"/>
    <s v="OK"/>
    <n v="0.6"/>
    <d v="2023-02-11T00:00:00"/>
    <d v="2024-08-11T00:00:00"/>
    <s v="Pas réglé"/>
    <m/>
    <m/>
    <m/>
    <m/>
    <m/>
    <m/>
    <s v="96858/2023/1"/>
    <s v="7324/2024/PO/DRE/CAC/ND"/>
    <n v="8622524"/>
    <n v="5173514.3999999994"/>
    <n v="862252.4"/>
    <d v="2024-09-21T00:00:00"/>
    <s v="OK"/>
    <s v="Echue"/>
    <x v="0"/>
    <s v="OK"/>
    <s v="OK"/>
    <s v="A renouveller"/>
    <x v="329"/>
    <x v="329"/>
  </r>
  <r>
    <x v="330"/>
    <x v="3"/>
    <n v="97416235416"/>
    <s v="Ciments du Maroc"/>
    <x v="2"/>
    <s v="81578/2023/1"/>
    <x v="1"/>
    <s v="KO"/>
    <n v="0.6"/>
    <d v="2023-12-22T00:00:00"/>
    <d v="2025-06-22T00:00:00"/>
    <s v="Pas réglé"/>
    <m/>
    <m/>
    <m/>
    <m/>
    <m/>
    <m/>
    <s v="55323/2023/1"/>
    <s v="2380/2024/PO/DRE/CAC/ND"/>
    <n v="1142382"/>
    <n v="685429.2"/>
    <n v="114238.20000000001"/>
    <d v="2024-02-23T00:00:00"/>
    <s v="KO"/>
    <s v="Echue"/>
    <x v="0"/>
    <s v="KO"/>
    <s v="KO"/>
    <s v="Valide"/>
    <x v="330"/>
    <x v="330"/>
  </r>
  <r>
    <x v="331"/>
    <x v="3"/>
    <n v="62916537990"/>
    <s v="OCP Group"/>
    <x v="0"/>
    <s v="98546/2023/1"/>
    <x v="1"/>
    <s v="OK"/>
    <n v="0.6"/>
    <d v="2023-12-03T00:00:00"/>
    <d v="2025-06-03T00:00:00"/>
    <s v="Pas réglé"/>
    <m/>
    <m/>
    <m/>
    <m/>
    <m/>
    <m/>
    <s v="42914/2023/1"/>
    <s v="1749/2024/PO/DRE/CAC/ND"/>
    <n v="4692350"/>
    <n v="2815410"/>
    <n v="469235"/>
    <d v="2024-11-23T00:00:00"/>
    <s v="OK"/>
    <s v="Echue"/>
    <x v="0"/>
    <s v="KO"/>
    <s v="OK"/>
    <s v="A renouveller"/>
    <x v="331"/>
    <x v="331"/>
  </r>
  <r>
    <x v="332"/>
    <x v="3"/>
    <n v="12112062885"/>
    <s v="Maroc Telecom"/>
    <x v="8"/>
    <s v="11316/2023/1"/>
    <x v="0"/>
    <s v="KO"/>
    <n v="0.6"/>
    <d v="2023-07-21T00:00:00"/>
    <d v="2025-01-21T00:00:00"/>
    <s v="Pas réglé"/>
    <m/>
    <m/>
    <m/>
    <m/>
    <m/>
    <m/>
    <s v="64938/2023/1"/>
    <s v="1718/2024/PO/DRE/CAC/ND"/>
    <n v="2599178"/>
    <n v="1559506.8"/>
    <n v="259917.80000000002"/>
    <d v="2024-03-09T00:00:00"/>
    <s v="KO"/>
    <s v="Valide"/>
    <x v="1"/>
    <s v="OK"/>
    <s v="KO"/>
    <s v="Valide"/>
    <x v="332"/>
    <x v="332"/>
  </r>
  <r>
    <x v="333"/>
    <x v="3"/>
    <n v="49577406926"/>
    <s v="2M Atlas"/>
    <x v="8"/>
    <s v="58516/2023/1"/>
    <x v="1"/>
    <s v="OK"/>
    <n v="0.6"/>
    <d v="2023-06-27T00:00:00"/>
    <d v="2024-12-27T00:00:00"/>
    <s v="Réglé"/>
    <d v="2023-07-27T00:00:00"/>
    <d v="2023-09-18T00:00:00"/>
    <s v="DOUNIALI"/>
    <s v="Tamwilcom"/>
    <d v="2024-03-30T00:00:00"/>
    <m/>
    <s v="52742/2023/1"/>
    <s v="2391/2024/PO/DRE/CAC/ND"/>
    <n v="7687473"/>
    <n v="4612483.8"/>
    <n v="768747.3"/>
    <d v="2024-04-17T00:00:00"/>
    <s v="OK"/>
    <s v="Valide"/>
    <x v="1"/>
    <s v="KO"/>
    <s v="OK"/>
    <s v="Valide"/>
    <x v="333"/>
    <x v="333"/>
  </r>
  <r>
    <x v="334"/>
    <x v="3"/>
    <n v="46394845547"/>
    <s v="Société Générale Maroc"/>
    <x v="1"/>
    <s v="11967/2023/1"/>
    <x v="0"/>
    <s v="KO"/>
    <n v="0.5"/>
    <d v="2023-11-19T00:00:00"/>
    <d v="2025-05-19T00:00:00"/>
    <s v="Réglé"/>
    <d v="2023-10-04T00:00:00"/>
    <d v="2023-12-05T00:00:00"/>
    <s v="DOUNIALI"/>
    <s v="Front"/>
    <d v="2024-12-06T00:00:00"/>
    <m/>
    <s v="20707/2023/1"/>
    <s v="4955/2024/PO/DRE/CAC/ND"/>
    <n v="3020684"/>
    <n v="1812410.4"/>
    <n v="302068.40000000002"/>
    <d v="2024-09-29T00:00:00"/>
    <s v="KO"/>
    <s v="Valide"/>
    <x v="1"/>
    <s v="KO"/>
    <s v="KO"/>
    <s v="Valide"/>
    <x v="334"/>
    <x v="334"/>
  </r>
  <r>
    <x v="335"/>
    <x v="3"/>
    <n v="64507890838"/>
    <s v="Banque Populaire"/>
    <x v="7"/>
    <s v="62598/2023/1"/>
    <x v="0"/>
    <s v="OK"/>
    <n v="0.7"/>
    <d v="2023-01-18T00:00:00"/>
    <d v="2024-07-18T00:00:00"/>
    <s v="Réglé"/>
    <d v="2023-12-16T00:00:00"/>
    <d v="2023-11-30T00:00:00"/>
    <s v="DOUNIALI"/>
    <s v="Front"/>
    <d v="2024-02-14T00:00:00"/>
    <m/>
    <s v="31241/2023/1"/>
    <s v="9468/2024/PO/DRE/CAC/ND"/>
    <n v="4514408"/>
    <n v="2708644.8"/>
    <n v="451440.80000000005"/>
    <d v="2024-01-19T00:00:00"/>
    <s v="OK"/>
    <s v="Valide"/>
    <x v="1"/>
    <s v="OK"/>
    <s v="OK"/>
    <s v="A renouveller"/>
    <x v="335"/>
    <x v="335"/>
  </r>
  <r>
    <x v="336"/>
    <x v="3"/>
    <n v="74163088435"/>
    <s v="BMCE Bank"/>
    <x v="6"/>
    <s v="30778/2023/1"/>
    <x v="0"/>
    <s v="KO"/>
    <n v="0.6"/>
    <d v="2023-01-01T00:00:00"/>
    <d v="2024-07-01T00:00:00"/>
    <s v="Réglé"/>
    <d v="2023-02-18T00:00:00"/>
    <d v="2023-06-05T00:00:00"/>
    <s v="DOUNIALI"/>
    <s v="Front"/>
    <d v="2024-11-19T00:00:00"/>
    <m/>
    <s v="85673/2023/1"/>
    <s v="5163/2024/PO/DRE/CAC/ND"/>
    <n v="1830275"/>
    <n v="1098165"/>
    <n v="183027.5"/>
    <d v="2024-09-18T00:00:00"/>
    <s v="KO"/>
    <s v="Echue"/>
    <x v="0"/>
    <s v="OK"/>
    <s v="KO"/>
    <s v="Valide"/>
    <x v="336"/>
    <x v="336"/>
  </r>
  <r>
    <x v="337"/>
    <x v="3"/>
    <n v="12215190700"/>
    <s v="BMCE Bank"/>
    <x v="3"/>
    <s v="48178/2023/1"/>
    <x v="1"/>
    <s v="OK"/>
    <n v="0.5"/>
    <d v="2023-10-20T00:00:00"/>
    <d v="2025-04-20T00:00:00"/>
    <s v="Pas réglé"/>
    <m/>
    <m/>
    <m/>
    <m/>
    <m/>
    <m/>
    <s v="32033/2023/1"/>
    <s v="8326/2024/PO/DRE/CAC/ND"/>
    <n v="7142329"/>
    <n v="4285397.3999999994"/>
    <n v="714232.9"/>
    <d v="2024-11-03T00:00:00"/>
    <s v="OK"/>
    <s v="Echue"/>
    <x v="0"/>
    <s v="OK"/>
    <s v="OK"/>
    <s v="Valide"/>
    <x v="337"/>
    <x v="337"/>
  </r>
  <r>
    <x v="338"/>
    <x v="3"/>
    <n v="15285437929"/>
    <s v="Banque Populaire"/>
    <x v="1"/>
    <s v="26366/2023/1"/>
    <x v="0"/>
    <s v="KO"/>
    <n v="0.6"/>
    <d v="2023-10-08T00:00:00"/>
    <d v="2025-04-08T00:00:00"/>
    <s v="Réglé"/>
    <d v="2023-04-15T00:00:00"/>
    <d v="2024-07-23T00:00:00"/>
    <s v="DOUNIALI"/>
    <s v="Tamwilcom"/>
    <d v="2024-04-25T00:00:00"/>
    <m/>
    <s v="43079/2023/1"/>
    <s v="4663/2024/PO/DRE/CAC/ND"/>
    <n v="7456740"/>
    <n v="4474044"/>
    <n v="745674"/>
    <d v="2024-08-13T00:00:00"/>
    <s v="KO"/>
    <s v="Echue"/>
    <x v="0"/>
    <s v="KO"/>
    <s v="KO"/>
    <s v="Valide"/>
    <x v="338"/>
    <x v="338"/>
  </r>
  <r>
    <x v="339"/>
    <x v="3"/>
    <n v="99071762146"/>
    <s v="Maroc Telecom"/>
    <x v="9"/>
    <s v="29078/2023/1"/>
    <x v="1"/>
    <s v="KO"/>
    <n v="0.6"/>
    <d v="2023-12-26T00:00:00"/>
    <d v="2025-06-26T00:00:00"/>
    <s v="Réglé"/>
    <d v="2023-02-10T00:00:00"/>
    <d v="2024-03-10T00:00:00"/>
    <s v="OCTROI"/>
    <s v="Tamwilcom"/>
    <d v="2024-07-05T00:00:00"/>
    <m/>
    <s v="11907/2023/1"/>
    <s v="7334/2024/PO/DRE/CAC/ND"/>
    <n v="2724220"/>
    <n v="1634532"/>
    <n v="272422"/>
    <d v="2024-06-23T00:00:00"/>
    <s v="KO"/>
    <s v="Valide"/>
    <x v="1"/>
    <s v="KO"/>
    <s v="KO"/>
    <s v="A renouveller"/>
    <x v="339"/>
    <x v="339"/>
  </r>
  <r>
    <x v="340"/>
    <x v="3"/>
    <n v="72063020882"/>
    <s v="BMCE Bank"/>
    <x v="3"/>
    <s v="88534/2023/1"/>
    <x v="1"/>
    <s v="OK"/>
    <n v="0.6"/>
    <d v="2023-01-30T00:00:00"/>
    <d v="2024-07-30T00:00:00"/>
    <s v="Réglé"/>
    <d v="2023-03-03T00:00:00"/>
    <d v="2023-06-17T00:00:00"/>
    <s v="DOUNIALI"/>
    <s v="Front"/>
    <d v="2024-08-26T00:00:00"/>
    <m/>
    <s v="26617/2023/1"/>
    <s v="4248/2024/PO/DRE/CAC/ND"/>
    <n v="8493261"/>
    <n v="5095956.5999999996"/>
    <n v="849326.10000000009"/>
    <d v="2024-09-02T00:00:00"/>
    <s v="OK"/>
    <s v="Valide"/>
    <x v="1"/>
    <s v="KO"/>
    <s v="OK"/>
    <s v="Valide"/>
    <x v="340"/>
    <x v="340"/>
  </r>
  <r>
    <x v="341"/>
    <x v="3"/>
    <n v="94996593518"/>
    <s v="Managem"/>
    <x v="6"/>
    <s v="35746/2023/1"/>
    <x v="0"/>
    <s v="OK"/>
    <n v="0.6"/>
    <d v="2023-12-12T00:00:00"/>
    <d v="2025-06-12T00:00:00"/>
    <s v="Pas réglé"/>
    <m/>
    <m/>
    <m/>
    <m/>
    <m/>
    <m/>
    <s v="56008/2023/1"/>
    <s v="7084/2024/PO/DRE/CAC/ND"/>
    <n v="5162598"/>
    <n v="3097558.8"/>
    <n v="516259.80000000005"/>
    <d v="2024-01-06T00:00:00"/>
    <s v="OK"/>
    <s v="Echue"/>
    <x v="0"/>
    <s v="KO"/>
    <s v="OK"/>
    <s v="A renouveller"/>
    <x v="341"/>
    <x v="341"/>
  </r>
  <r>
    <x v="342"/>
    <x v="3"/>
    <n v="74952497693"/>
    <s v="Ciments du Maroc"/>
    <x v="8"/>
    <s v="32736/2023/1"/>
    <x v="0"/>
    <s v="KO"/>
    <n v="0.6"/>
    <d v="2023-06-02T00:00:00"/>
    <d v="2024-12-02T00:00:00"/>
    <s v="Réglé"/>
    <d v="2023-05-20T00:00:00"/>
    <d v="2023-07-19T00:00:00"/>
    <s v="DOUNIALI"/>
    <s v="Tamwilcom"/>
    <d v="2024-07-13T00:00:00"/>
    <m/>
    <s v="45764/2023/1"/>
    <s v="9390/2024/PO/DRE/CAC/ND"/>
    <n v="2676021"/>
    <n v="1605612.5999999999"/>
    <n v="267602.10000000003"/>
    <d v="2024-10-31T00:00:00"/>
    <s v="KO"/>
    <s v="Echue"/>
    <x v="0"/>
    <s v="OK"/>
    <s v="KO"/>
    <s v="Valide"/>
    <x v="342"/>
    <x v="342"/>
  </r>
  <r>
    <x v="343"/>
    <x v="3"/>
    <n v="59928160579"/>
    <s v="Ciments du Maroc"/>
    <x v="9"/>
    <s v="14968/2023/1"/>
    <x v="1"/>
    <s v="OK"/>
    <n v="0.6"/>
    <d v="2023-08-20T00:00:00"/>
    <d v="2025-02-20T00:00:00"/>
    <s v="Pas réglé"/>
    <m/>
    <m/>
    <m/>
    <m/>
    <m/>
    <m/>
    <s v="67277/2023/1"/>
    <s v="8541/2024/PO/DRE/CAC/ND"/>
    <n v="2962764"/>
    <n v="1777658.4"/>
    <n v="296276.40000000002"/>
    <d v="2024-09-18T00:00:00"/>
    <s v="OK"/>
    <s v="Valide"/>
    <x v="1"/>
    <s v="OK"/>
    <s v="OK"/>
    <s v="A renouveller"/>
    <x v="343"/>
    <x v="343"/>
  </r>
  <r>
    <x v="344"/>
    <x v="3"/>
    <n v="10879985557"/>
    <s v="Société Générale Maroc"/>
    <x v="8"/>
    <s v="26160/2023/1"/>
    <x v="0"/>
    <s v="OK"/>
    <n v="0.6"/>
    <d v="2023-12-15T00:00:00"/>
    <d v="2025-06-15T00:00:00"/>
    <s v="Pas réglé"/>
    <m/>
    <m/>
    <m/>
    <m/>
    <m/>
    <m/>
    <s v="16231/2023/1"/>
    <s v="6190/2024/PO/DRE/CAC/ND"/>
    <n v="8904458"/>
    <n v="5342674.8"/>
    <n v="890445.8"/>
    <d v="2024-10-26T00:00:00"/>
    <s v="OK"/>
    <s v="Echue"/>
    <x v="0"/>
    <s v="OK"/>
    <s v="OK"/>
    <s v="Valide"/>
    <x v="344"/>
    <x v="344"/>
  </r>
  <r>
    <x v="345"/>
    <x v="3"/>
    <n v="31026003078"/>
    <s v="OCP Group"/>
    <x v="9"/>
    <s v="13969/2023/1"/>
    <x v="1"/>
    <s v="OK"/>
    <n v="0.6"/>
    <d v="2023-02-21T00:00:00"/>
    <d v="2024-08-21T00:00:00"/>
    <s v="Réglé"/>
    <d v="2023-01-27T00:00:00"/>
    <d v="2024-02-10T00:00:00"/>
    <s v="DOUNIALI"/>
    <s v="Tamwilcom"/>
    <d v="2024-07-02T00:00:00"/>
    <m/>
    <s v="81137/2023/1"/>
    <s v="9071/2024/PO/DRE/CAC/ND"/>
    <n v="7510607"/>
    <n v="4506364.2"/>
    <n v="751060.70000000007"/>
    <d v="2024-08-23T00:00:00"/>
    <s v="OK"/>
    <s v="Echue"/>
    <x v="0"/>
    <s v="OK"/>
    <s v="OK"/>
    <s v="Valide"/>
    <x v="345"/>
    <x v="345"/>
  </r>
  <r>
    <x v="346"/>
    <x v="3"/>
    <n v="59391693529"/>
    <s v="BMCE Bank"/>
    <x v="8"/>
    <s v="44120/2023/1"/>
    <x v="0"/>
    <s v="KO"/>
    <n v="0.6"/>
    <d v="2023-08-13T00:00:00"/>
    <d v="2025-02-13T00:00:00"/>
    <s v="Réglé"/>
    <d v="2023-11-10T00:00:00"/>
    <d v="2024-07-23T00:00:00"/>
    <s v="DOUNIALI"/>
    <s v="Tamwilcom"/>
    <d v="2024-02-24T00:00:00"/>
    <m/>
    <s v="35387/2023/1"/>
    <s v="6944/2024/PO/DRE/CAC/ND"/>
    <n v="5329399"/>
    <n v="3197639.4"/>
    <n v="532939.9"/>
    <d v="2024-11-23T00:00:00"/>
    <s v="KO"/>
    <s v="Valide"/>
    <x v="1"/>
    <s v="OK"/>
    <s v="KO"/>
    <s v="A renouveller"/>
    <x v="346"/>
    <x v="346"/>
  </r>
  <r>
    <x v="347"/>
    <x v="3"/>
    <n v="13829615860"/>
    <s v="Banque Populaire"/>
    <x v="6"/>
    <s v="98375/2023/1"/>
    <x v="0"/>
    <s v="KO"/>
    <n v="0.6"/>
    <d v="2023-07-29T00:00:00"/>
    <d v="2025-01-29T00:00:00"/>
    <s v="Pas réglé"/>
    <m/>
    <m/>
    <m/>
    <m/>
    <m/>
    <m/>
    <s v="49407/2023/1"/>
    <s v="1004/2024/PO/DRE/CAC/ND"/>
    <n v="8380440"/>
    <n v="5028264"/>
    <n v="838044"/>
    <d v="2024-10-10T00:00:00"/>
    <s v="KO"/>
    <s v="Valide"/>
    <x v="1"/>
    <s v="OK"/>
    <s v="KO"/>
    <s v="Valide"/>
    <x v="347"/>
    <x v="347"/>
  </r>
  <r>
    <x v="348"/>
    <x v="3"/>
    <n v="65162088952"/>
    <s v="Ciments du Maroc"/>
    <x v="3"/>
    <s v="53754/2023/1"/>
    <x v="1"/>
    <s v="KO"/>
    <n v="0.6"/>
    <d v="2023-06-19T00:00:00"/>
    <d v="2024-12-19T00:00:00"/>
    <s v="Réglé"/>
    <d v="2023-04-20T00:00:00"/>
    <d v="2024-02-16T00:00:00"/>
    <s v="DOUNIALI"/>
    <s v="Front"/>
    <d v="2024-10-12T00:00:00"/>
    <m/>
    <s v="50469/2023/1"/>
    <s v="2502/2024/PO/DRE/CAC/ND"/>
    <n v="7334181"/>
    <n v="4400508.5999999996"/>
    <n v="733418.10000000009"/>
    <d v="2024-04-16T00:00:00"/>
    <s v="KO"/>
    <s v="Valide"/>
    <x v="1"/>
    <s v="KO"/>
    <s v="KO"/>
    <s v="Valide"/>
    <x v="348"/>
    <x v="348"/>
  </r>
  <r>
    <x v="349"/>
    <x v="3"/>
    <n v="55763836096"/>
    <s v="Ciments du Maroc"/>
    <x v="1"/>
    <s v="43070/2023/1"/>
    <x v="0"/>
    <s v="OK"/>
    <n v="0.6"/>
    <d v="2023-07-19T00:00:00"/>
    <d v="2025-01-19T00:00:00"/>
    <s v="Réglé"/>
    <d v="2023-05-04T00:00:00"/>
    <d v="2023-07-20T00:00:00"/>
    <s v="DOUNIALI"/>
    <s v="Front"/>
    <d v="2024-01-08T00:00:00"/>
    <m/>
    <s v="82555/2023/1"/>
    <s v="2492/2024/PO/DRE/CAC/ND"/>
    <n v="4914742"/>
    <n v="2948845.1999999997"/>
    <n v="491474.2"/>
    <d v="2024-07-04T00:00:00"/>
    <s v="OK"/>
    <s v="Echue"/>
    <x v="0"/>
    <s v="KO"/>
    <s v="OK"/>
    <s v="Valide"/>
    <x v="349"/>
    <x v="349"/>
  </r>
  <r>
    <x v="350"/>
    <x v="3"/>
    <n v="70800581676"/>
    <s v="Maghreb Steel"/>
    <x v="6"/>
    <s v="47714/2023/1"/>
    <x v="1"/>
    <s v="KO"/>
    <n v="0.6"/>
    <d v="2023-07-09T00:00:00"/>
    <d v="2025-01-09T00:00:00"/>
    <s v="Pas réglé"/>
    <m/>
    <m/>
    <m/>
    <m/>
    <m/>
    <m/>
    <s v="39817/2023/1"/>
    <s v="4388/2024/PO/DRE/CAC/ND"/>
    <n v="6328248"/>
    <n v="3796948.8"/>
    <n v="632824.80000000005"/>
    <d v="2024-11-15T00:00:00"/>
    <s v="KO"/>
    <s v="Echue"/>
    <x v="0"/>
    <s v="KO"/>
    <s v="KO"/>
    <s v="A renouveller"/>
    <x v="350"/>
    <x v="350"/>
  </r>
  <r>
    <x v="351"/>
    <x v="3"/>
    <n v="40705609867"/>
    <s v="Maroc Telecom"/>
    <x v="0"/>
    <s v="36281/2023/1"/>
    <x v="0"/>
    <s v="KO"/>
    <n v="0.7"/>
    <d v="2023-04-26T00:00:00"/>
    <d v="2024-10-26T00:00:00"/>
    <s v="Réglé"/>
    <d v="2023-04-27T00:00:00"/>
    <d v="2023-07-30T00:00:00"/>
    <s v="OCTROI"/>
    <s v="Front"/>
    <d v="2024-08-06T00:00:00"/>
    <m/>
    <s v="74671/2023/1"/>
    <s v="7953/2024/PO/DRE/CAC/ND"/>
    <n v="8674552"/>
    <n v="5204731.2"/>
    <n v="867455.20000000007"/>
    <d v="2024-11-13T00:00:00"/>
    <s v="KO"/>
    <s v="Valide"/>
    <x v="1"/>
    <s v="OK"/>
    <s v="KO"/>
    <s v="Valide"/>
    <x v="351"/>
    <x v="351"/>
  </r>
  <r>
    <x v="352"/>
    <x v="3"/>
    <n v="52651544964"/>
    <s v="Banque Populaire"/>
    <x v="8"/>
    <s v="77748/2023/1"/>
    <x v="0"/>
    <s v="OK"/>
    <n v="0.6"/>
    <d v="2023-06-12T00:00:00"/>
    <d v="2024-12-12T00:00:00"/>
    <s v="Pas réglé"/>
    <m/>
    <m/>
    <m/>
    <m/>
    <m/>
    <m/>
    <s v="62166/2023/1"/>
    <s v="3006/2024/PO/DRE/CAC/ND"/>
    <n v="4213996"/>
    <n v="2528397.6"/>
    <n v="421399.60000000003"/>
    <d v="2024-03-28T00:00:00"/>
    <s v="OK"/>
    <s v="Echue"/>
    <x v="0"/>
    <s v="KO"/>
    <s v="OK"/>
    <s v="Valide"/>
    <x v="352"/>
    <x v="352"/>
  </r>
  <r>
    <x v="353"/>
    <x v="3"/>
    <n v="53301760430"/>
    <s v="Ciments du Maroc"/>
    <x v="4"/>
    <s v="68764/2023/1"/>
    <x v="1"/>
    <s v="KO"/>
    <n v="0.6"/>
    <d v="2023-11-06T00:00:00"/>
    <d v="2025-05-06T00:00:00"/>
    <s v="Pas réglé"/>
    <m/>
    <m/>
    <m/>
    <m/>
    <m/>
    <m/>
    <s v="61606/2023/1"/>
    <s v="8452/2024/PO/DRE/CAC/ND"/>
    <n v="8581039"/>
    <n v="5148623.3999999994"/>
    <n v="858103.9"/>
    <d v="2024-10-24T00:00:00"/>
    <s v="KO"/>
    <s v="Echue"/>
    <x v="0"/>
    <s v="KO"/>
    <s v="KO"/>
    <s v="Valide"/>
    <x v="353"/>
    <x v="353"/>
  </r>
  <r>
    <x v="354"/>
    <x v="3"/>
    <n v="76648998526"/>
    <s v="2M Atlas"/>
    <x v="0"/>
    <s v="51331/2023/1"/>
    <x v="0"/>
    <s v="KO"/>
    <n v="0.5"/>
    <d v="2023-10-17T00:00:00"/>
    <d v="2025-04-17T00:00:00"/>
    <s v="Pas réglé"/>
    <m/>
    <m/>
    <m/>
    <m/>
    <m/>
    <m/>
    <s v="55927/2023/1"/>
    <s v="7252/2024/PO/DRE/CAC/ND"/>
    <n v="4875109"/>
    <n v="2925065.4"/>
    <n v="487510.9"/>
    <d v="2024-02-03T00:00:00"/>
    <s v="KO"/>
    <s v="Echue"/>
    <x v="0"/>
    <s v="KO"/>
    <s v="KO"/>
    <s v="A renouveller"/>
    <x v="354"/>
    <x v="354"/>
  </r>
  <r>
    <x v="355"/>
    <x v="3"/>
    <n v="58894823326"/>
    <s v="Maroc Telecom"/>
    <x v="6"/>
    <s v="33068/2023/1"/>
    <x v="0"/>
    <s v="KO"/>
    <n v="0.6"/>
    <d v="2023-03-16T00:00:00"/>
    <d v="2024-09-16T00:00:00"/>
    <s v="Pas réglé"/>
    <m/>
    <m/>
    <m/>
    <m/>
    <m/>
    <m/>
    <s v="66615/2023/1"/>
    <s v="8732/2024/PO/DRE/CAC/ND"/>
    <n v="6353869"/>
    <n v="3812321.4"/>
    <n v="635386.9"/>
    <d v="2024-03-28T00:00:00"/>
    <s v="KO"/>
    <s v="Echue"/>
    <x v="0"/>
    <s v="KO"/>
    <s v="KO"/>
    <s v="Valide"/>
    <x v="355"/>
    <x v="355"/>
  </r>
  <r>
    <x v="356"/>
    <x v="3"/>
    <n v="31498315031"/>
    <s v="OCP Group"/>
    <x v="4"/>
    <s v="25120/2023/1"/>
    <x v="0"/>
    <s v="KO"/>
    <n v="0.6"/>
    <d v="2023-02-09T00:00:00"/>
    <d v="2024-08-09T00:00:00"/>
    <s v="Pas réglé"/>
    <m/>
    <m/>
    <m/>
    <m/>
    <m/>
    <m/>
    <s v="99917/2023/1"/>
    <s v="5328/2024/PO/DRE/CAC/ND"/>
    <n v="1873173"/>
    <n v="1123903.8"/>
    <n v="187317.30000000002"/>
    <d v="2024-09-30T00:00:00"/>
    <s v="KO"/>
    <s v="Valide"/>
    <x v="1"/>
    <s v="OK"/>
    <s v="KO"/>
    <s v="A renouveller"/>
    <x v="356"/>
    <x v="356"/>
  </r>
  <r>
    <x v="357"/>
    <x v="3"/>
    <n v="85262559258"/>
    <s v="Maroc Telecom"/>
    <x v="3"/>
    <s v="48902/2023/1"/>
    <x v="1"/>
    <s v="KO"/>
    <n v="0.6"/>
    <d v="2023-07-07T00:00:00"/>
    <d v="2025-01-07T00:00:00"/>
    <s v="Réglé"/>
    <d v="2023-02-21T00:00:00"/>
    <d v="2023-10-27T00:00:00"/>
    <s v="OCTROI"/>
    <s v="Front"/>
    <d v="2024-01-11T00:00:00"/>
    <m/>
    <s v="55339/2023/1"/>
    <s v="8230/2024/PO/DRE/CAC/ND"/>
    <n v="9984419"/>
    <n v="5990651.3999999994"/>
    <n v="998441.9"/>
    <d v="2024-11-04T00:00:00"/>
    <s v="KO"/>
    <s v="Valide"/>
    <x v="1"/>
    <s v="KO"/>
    <s v="KO"/>
    <s v="Valide"/>
    <x v="357"/>
    <x v="357"/>
  </r>
  <r>
    <x v="358"/>
    <x v="3"/>
    <n v="47831056787"/>
    <s v="2M Atlas"/>
    <x v="4"/>
    <s v="22254/2023/1"/>
    <x v="1"/>
    <s v="OK"/>
    <n v="0.6"/>
    <d v="2023-04-17T00:00:00"/>
    <d v="2024-10-17T00:00:00"/>
    <s v="Réglé"/>
    <d v="2023-10-28T00:00:00"/>
    <d v="2024-04-08T00:00:00"/>
    <s v="DOUNIALI"/>
    <s v="Front"/>
    <d v="2024-12-08T00:00:00"/>
    <m/>
    <s v="87660/2023/1"/>
    <s v="5861/2024/PO/DRE/CAC/ND"/>
    <n v="6213848"/>
    <n v="3728308.8"/>
    <n v="621384.80000000005"/>
    <d v="2024-04-02T00:00:00"/>
    <s v="OK"/>
    <s v="Echue"/>
    <x v="0"/>
    <s v="KO"/>
    <s v="OK"/>
    <s v="Valide"/>
    <x v="358"/>
    <x v="358"/>
  </r>
  <r>
    <x v="359"/>
    <x v="3"/>
    <n v="79850338288"/>
    <s v="OCP Group"/>
    <x v="8"/>
    <s v="46659/2023/1"/>
    <x v="1"/>
    <s v="OK"/>
    <n v="0.6"/>
    <d v="2023-09-18T00:00:00"/>
    <d v="2025-03-18T00:00:00"/>
    <s v="Réglé"/>
    <d v="2023-04-21T00:00:00"/>
    <d v="2024-04-03T00:00:00"/>
    <s v="OCTROI"/>
    <s v="Tamwilcom"/>
    <d v="2024-11-27T00:00:00"/>
    <m/>
    <s v="19349/2023/1"/>
    <s v="2903/2024/PO/DRE/CAC/ND"/>
    <n v="1153524"/>
    <n v="692114.4"/>
    <n v="115352.40000000001"/>
    <d v="2024-07-07T00:00:00"/>
    <s v="OK"/>
    <s v="Echue"/>
    <x v="0"/>
    <s v="KO"/>
    <s v="OK"/>
    <s v="Valide"/>
    <x v="359"/>
    <x v="359"/>
  </r>
  <r>
    <x v="360"/>
    <x v="3"/>
    <n v="10935246837"/>
    <s v="Société Générale Maroc"/>
    <x v="6"/>
    <s v="46207/2023/1"/>
    <x v="1"/>
    <s v="OK"/>
    <n v="0.5"/>
    <d v="2023-10-11T00:00:00"/>
    <d v="2025-04-11T00:00:00"/>
    <s v="Réglé"/>
    <d v="2023-04-26T00:00:00"/>
    <d v="2024-09-24T00:00:00"/>
    <s v="DOUNIALI"/>
    <s v="Front"/>
    <d v="2024-07-06T00:00:00"/>
    <m/>
    <s v="54403/2023/1"/>
    <s v="8457/2024/PO/DRE/CAC/ND"/>
    <n v="7200174"/>
    <n v="4320104.3999999994"/>
    <n v="720017.4"/>
    <d v="2024-11-11T00:00:00"/>
    <s v="OK"/>
    <s v="Valide"/>
    <x v="1"/>
    <s v="OK"/>
    <s v="OK"/>
    <s v="A renouveller"/>
    <x v="360"/>
    <x v="360"/>
  </r>
  <r>
    <x v="361"/>
    <x v="3"/>
    <n v="81304087765"/>
    <s v="Managem"/>
    <x v="3"/>
    <s v="50734/2023/1"/>
    <x v="0"/>
    <s v="KO"/>
    <n v="0.6"/>
    <d v="2023-12-03T00:00:00"/>
    <d v="2025-06-03T00:00:00"/>
    <s v="Réglé"/>
    <d v="2023-10-23T00:00:00"/>
    <d v="2024-08-12T00:00:00"/>
    <s v="DOUNIALI"/>
    <s v="Tamwilcom"/>
    <d v="2024-05-12T00:00:00"/>
    <m/>
    <s v="40444/2023/1"/>
    <s v="6743/2024/PO/DRE/CAC/ND"/>
    <n v="8804981"/>
    <n v="5282988.5999999996"/>
    <n v="880498.10000000009"/>
    <d v="2024-10-31T00:00:00"/>
    <s v="KO"/>
    <s v="Valide"/>
    <x v="1"/>
    <s v="OK"/>
    <s v="KO"/>
    <s v="Valide"/>
    <x v="361"/>
    <x v="361"/>
  </r>
  <r>
    <x v="362"/>
    <x v="3"/>
    <n v="37862330547"/>
    <s v="2M Atlas"/>
    <x v="0"/>
    <s v="46589/2023/1"/>
    <x v="0"/>
    <s v="OK"/>
    <n v="0.6"/>
    <d v="2023-09-25T00:00:00"/>
    <d v="2025-03-25T00:00:00"/>
    <s v="Pas réglé"/>
    <m/>
    <m/>
    <m/>
    <m/>
    <m/>
    <m/>
    <s v="58063/2023/1"/>
    <s v="4876/2024/PO/DRE/CAC/ND"/>
    <n v="5818183"/>
    <n v="3490909.8"/>
    <n v="581818.30000000005"/>
    <d v="2024-04-13T00:00:00"/>
    <s v="OK"/>
    <s v="Valide"/>
    <x v="1"/>
    <s v="KO"/>
    <s v="OK"/>
    <s v="Valide"/>
    <x v="362"/>
    <x v="362"/>
  </r>
  <r>
    <x v="363"/>
    <x v="3"/>
    <n v="58845572653"/>
    <s v="Ciments du Maroc"/>
    <x v="8"/>
    <s v="38263/2023/1"/>
    <x v="0"/>
    <s v="OK"/>
    <n v="0.6"/>
    <d v="2023-05-02T00:00:00"/>
    <d v="2024-11-02T00:00:00"/>
    <s v="Pas réglé"/>
    <m/>
    <m/>
    <m/>
    <m/>
    <m/>
    <m/>
    <s v="86563/2023/1"/>
    <s v="9053/2024/PO/DRE/CAC/ND"/>
    <n v="9808718"/>
    <n v="5885230.7999999998"/>
    <n v="980871.8"/>
    <d v="2024-10-01T00:00:00"/>
    <s v="OK"/>
    <s v="Valide"/>
    <x v="1"/>
    <s v="OK"/>
    <s v="OK"/>
    <s v="A renouveller"/>
    <x v="363"/>
    <x v="363"/>
  </r>
  <r>
    <x v="364"/>
    <x v="3"/>
    <n v="39504007163"/>
    <s v="Maroc Telecom"/>
    <x v="4"/>
    <s v="42153/2023/1"/>
    <x v="0"/>
    <s v="OK"/>
    <n v="0.6"/>
    <d v="2023-06-27T00:00:00"/>
    <d v="2024-12-27T00:00:00"/>
    <s v="Pas réglé"/>
    <m/>
    <m/>
    <m/>
    <m/>
    <m/>
    <m/>
    <s v="37257/2023/1"/>
    <s v="7690/2024/PO/DRE/CAC/ND"/>
    <n v="1311669"/>
    <n v="787001.4"/>
    <n v="131166.9"/>
    <d v="2024-10-11T00:00:00"/>
    <s v="OK"/>
    <s v="Valide"/>
    <x v="1"/>
    <s v="KO"/>
    <s v="OK"/>
    <s v="A renouveller"/>
    <x v="364"/>
    <x v="364"/>
  </r>
  <r>
    <x v="365"/>
    <x v="3"/>
    <n v="39310930224"/>
    <s v="Maroc Telecom"/>
    <x v="4"/>
    <s v="36825/2023/1"/>
    <x v="1"/>
    <s v="KO"/>
    <n v="0.6"/>
    <d v="2023-01-27T00:00:00"/>
    <d v="2024-07-27T00:00:00"/>
    <s v="Pas réglé"/>
    <m/>
    <m/>
    <m/>
    <m/>
    <m/>
    <m/>
    <s v="83785/2023/1"/>
    <s v="7226/2024/PO/DRE/CAC/ND"/>
    <n v="1707586"/>
    <n v="1024551.6"/>
    <n v="170758.6"/>
    <d v="2024-05-29T00:00:00"/>
    <s v="KO"/>
    <s v="Valide"/>
    <x v="1"/>
    <s v="OK"/>
    <s v="KO"/>
    <s v="A renouveller"/>
    <x v="365"/>
    <x v="365"/>
  </r>
  <r>
    <x v="366"/>
    <x v="3"/>
    <n v="42968623152"/>
    <s v="Ciments du Maroc"/>
    <x v="3"/>
    <s v="66036/2023/1"/>
    <x v="1"/>
    <s v="OK"/>
    <n v="0.6"/>
    <d v="2023-09-08T00:00:00"/>
    <d v="2025-03-08T00:00:00"/>
    <s v="Réglé"/>
    <d v="2023-10-04T00:00:00"/>
    <d v="2024-08-20T00:00:00"/>
    <s v="DOUNIALI"/>
    <s v="Tamwilcom"/>
    <d v="2024-10-10T00:00:00"/>
    <m/>
    <s v="84940/2023/1"/>
    <s v="4797/2024/PO/DRE/CAC/ND"/>
    <n v="3572122"/>
    <n v="2143273.1999999997"/>
    <n v="357212.2"/>
    <d v="2024-07-14T00:00:00"/>
    <s v="OK"/>
    <s v="Echue"/>
    <x v="0"/>
    <s v="OK"/>
    <s v="OK"/>
    <s v="Valide"/>
    <x v="366"/>
    <x v="366"/>
  </r>
  <r>
    <x v="367"/>
    <x v="3"/>
    <n v="51510824192"/>
    <s v="Société Générale Maroc"/>
    <x v="5"/>
    <s v="78234/2023/1"/>
    <x v="0"/>
    <s v="OK"/>
    <n v="0.6"/>
    <d v="2023-02-17T00:00:00"/>
    <d v="2024-08-17T00:00:00"/>
    <s v="Pas réglé"/>
    <m/>
    <m/>
    <m/>
    <m/>
    <m/>
    <m/>
    <s v="19365/2023/1"/>
    <s v="4271/2024/PO/DRE/CAC/ND"/>
    <n v="6925454"/>
    <n v="4155272.4"/>
    <n v="692545.4"/>
    <d v="2024-09-03T00:00:00"/>
    <s v="OK"/>
    <s v="Valide"/>
    <x v="1"/>
    <s v="OK"/>
    <s v="OK"/>
    <s v="Valide"/>
    <x v="367"/>
    <x v="367"/>
  </r>
  <r>
    <x v="368"/>
    <x v="3"/>
    <n v="22034347995"/>
    <s v="2M Atlas"/>
    <x v="8"/>
    <s v="33295/2023/1"/>
    <x v="1"/>
    <s v="KO"/>
    <n v="0.7"/>
    <d v="2023-01-28T00:00:00"/>
    <d v="2024-07-28T00:00:00"/>
    <s v="Réglé"/>
    <d v="2023-02-20T00:00:00"/>
    <d v="2024-01-05T00:00:00"/>
    <s v="DOUNIALI"/>
    <s v="Tamwilcom"/>
    <d v="2024-12-21T00:00:00"/>
    <m/>
    <s v="13978/2023/1"/>
    <s v="6722/2024/PO/DRE/CAC/ND"/>
    <n v="4440408"/>
    <n v="2664244.7999999998"/>
    <n v="444040.80000000005"/>
    <d v="2024-11-07T00:00:00"/>
    <s v="KO"/>
    <s v="Valide"/>
    <x v="1"/>
    <s v="OK"/>
    <s v="KO"/>
    <s v="A renouveller"/>
    <x v="368"/>
    <x v="368"/>
  </r>
  <r>
    <x v="369"/>
    <x v="3"/>
    <n v="10243824033"/>
    <s v="Banque Populaire"/>
    <x v="4"/>
    <s v="39701/2023/1"/>
    <x v="1"/>
    <s v="KO"/>
    <n v="0.5"/>
    <d v="2023-09-21T00:00:00"/>
    <d v="2025-03-21T00:00:00"/>
    <s v="Réglé"/>
    <d v="2023-08-22T00:00:00"/>
    <d v="2024-06-21T00:00:00"/>
    <s v="OCTROI"/>
    <s v="Front"/>
    <d v="2024-05-15T00:00:00"/>
    <m/>
    <s v="91287/2023/1"/>
    <s v="8457/2024/PO/DRE/CAC/ND"/>
    <n v="4187990"/>
    <n v="2512794"/>
    <n v="418799"/>
    <d v="2024-11-10T00:00:00"/>
    <s v="KO"/>
    <s v="Echue"/>
    <x v="0"/>
    <s v="KO"/>
    <s v="KO"/>
    <s v="A renouveller"/>
    <x v="369"/>
    <x v="369"/>
  </r>
  <r>
    <x v="370"/>
    <x v="3"/>
    <n v="45356727783"/>
    <s v="Managem"/>
    <x v="9"/>
    <s v="96656/2023/1"/>
    <x v="0"/>
    <s v="OK"/>
    <n v="0.6"/>
    <d v="2023-07-15T00:00:00"/>
    <d v="2025-01-15T00:00:00"/>
    <s v="Réglé"/>
    <d v="2023-01-08T00:00:00"/>
    <d v="2024-03-16T00:00:00"/>
    <s v="DOUNIALI"/>
    <s v="Front"/>
    <d v="2024-10-22T00:00:00"/>
    <m/>
    <s v="70485/2023/1"/>
    <s v="1520/2024/PO/DRE/CAC/ND"/>
    <n v="3129629"/>
    <n v="1877777.4"/>
    <n v="312962.90000000002"/>
    <d v="2024-06-27T00:00:00"/>
    <s v="OK"/>
    <s v="Echue"/>
    <x v="0"/>
    <s v="KO"/>
    <s v="OK"/>
    <s v="Valide"/>
    <x v="370"/>
    <x v="370"/>
  </r>
  <r>
    <x v="371"/>
    <x v="3"/>
    <n v="90562026962"/>
    <s v="Banque Populaire"/>
    <x v="3"/>
    <s v="87777/2023/1"/>
    <x v="1"/>
    <s v="KO"/>
    <n v="0.6"/>
    <d v="2023-04-09T00:00:00"/>
    <d v="2024-10-09T00:00:00"/>
    <s v="Réglé"/>
    <d v="2023-04-16T00:00:00"/>
    <d v="2024-03-30T00:00:00"/>
    <s v="OCTROI"/>
    <s v="Front"/>
    <d v="2024-03-14T00:00:00"/>
    <m/>
    <s v="83529/2023/1"/>
    <s v="1499/2024/PO/DRE/CAC/ND"/>
    <n v="8409594"/>
    <n v="5045756.3999999994"/>
    <n v="840959.4"/>
    <d v="2024-10-14T00:00:00"/>
    <s v="KO"/>
    <s v="Echue"/>
    <x v="0"/>
    <s v="KO"/>
    <s v="KO"/>
    <s v="Valide"/>
    <x v="371"/>
    <x v="371"/>
  </r>
  <r>
    <x v="372"/>
    <x v="3"/>
    <n v="25814338893"/>
    <s v="Ciments du Maroc"/>
    <x v="2"/>
    <s v="38168/2023/1"/>
    <x v="1"/>
    <s v="OK"/>
    <n v="0.7"/>
    <d v="2023-09-26T00:00:00"/>
    <d v="2025-03-26T00:00:00"/>
    <s v="Pas réglé"/>
    <m/>
    <m/>
    <m/>
    <m/>
    <m/>
    <m/>
    <s v="52785/2023/1"/>
    <s v="4616/2024/PO/DRE/CAC/ND"/>
    <n v="1374187"/>
    <n v="824512.2"/>
    <n v="137418.70000000001"/>
    <d v="2024-02-04T00:00:00"/>
    <s v="OK"/>
    <s v="Echue"/>
    <x v="0"/>
    <s v="KO"/>
    <s v="OK"/>
    <s v="A renouveller"/>
    <x v="372"/>
    <x v="372"/>
  </r>
  <r>
    <x v="373"/>
    <x v="3"/>
    <n v="93902884451"/>
    <s v="Maghreb Steel"/>
    <x v="2"/>
    <s v="45604/2023/1"/>
    <x v="1"/>
    <s v="OK"/>
    <n v="0.6"/>
    <d v="2023-07-12T00:00:00"/>
    <d v="2025-01-12T00:00:00"/>
    <s v="Réglé"/>
    <d v="2023-11-09T00:00:00"/>
    <d v="2024-06-30T00:00:00"/>
    <s v="DOUNIALI"/>
    <s v="Front"/>
    <d v="2024-06-24T00:00:00"/>
    <m/>
    <s v="89359/2023/1"/>
    <s v="5508/2024/PO/DRE/CAC/ND"/>
    <n v="2698256"/>
    <n v="1618953.5999999999"/>
    <n v="269825.60000000003"/>
    <d v="2024-03-16T00:00:00"/>
    <s v="OK"/>
    <s v="Echue"/>
    <x v="0"/>
    <s v="OK"/>
    <s v="OK"/>
    <s v="A renouveller"/>
    <x v="373"/>
    <x v="373"/>
  </r>
  <r>
    <x v="374"/>
    <x v="3"/>
    <n v="68331755859"/>
    <s v="OCP Group"/>
    <x v="3"/>
    <s v="69823/2023/1"/>
    <x v="1"/>
    <s v="KO"/>
    <n v="0.6"/>
    <d v="2023-01-01T00:00:00"/>
    <d v="2024-07-01T00:00:00"/>
    <s v="Réglé"/>
    <d v="2023-06-21T00:00:00"/>
    <d v="2023-10-22T00:00:00"/>
    <s v="DOUNIALI"/>
    <s v="Front"/>
    <d v="2024-10-19T00:00:00"/>
    <m/>
    <s v="46217/2023/1"/>
    <s v="3138/2024/PO/DRE/CAC/ND"/>
    <n v="2678756"/>
    <n v="1607253.5999999999"/>
    <n v="267875.60000000003"/>
    <d v="2024-11-05T00:00:00"/>
    <s v="KO"/>
    <s v="Echue"/>
    <x v="0"/>
    <s v="OK"/>
    <s v="KO"/>
    <s v="Valide"/>
    <x v="374"/>
    <x v="374"/>
  </r>
  <r>
    <x v="375"/>
    <x v="3"/>
    <n v="99060973408"/>
    <s v="Cosumar"/>
    <x v="4"/>
    <s v="12603/2023/1"/>
    <x v="0"/>
    <s v="KO"/>
    <n v="0.6"/>
    <d v="2023-12-22T00:00:00"/>
    <d v="2025-06-22T00:00:00"/>
    <s v="Pas réglé"/>
    <m/>
    <m/>
    <m/>
    <m/>
    <m/>
    <m/>
    <s v="38086/2023/1"/>
    <s v="1001/2024/PO/DRE/CAC/ND"/>
    <n v="1705110"/>
    <n v="1023066"/>
    <n v="170511"/>
    <d v="2024-08-26T00:00:00"/>
    <s v="KO"/>
    <s v="Valide"/>
    <x v="1"/>
    <s v="KO"/>
    <s v="KO"/>
    <s v="Valide"/>
    <x v="375"/>
    <x v="375"/>
  </r>
  <r>
    <x v="376"/>
    <x v="3"/>
    <n v="18100314624"/>
    <s v="Managem"/>
    <x v="0"/>
    <s v="26335/2023/1"/>
    <x v="0"/>
    <s v="OK"/>
    <n v="0.6"/>
    <d v="2023-12-26T00:00:00"/>
    <d v="2025-06-26T00:00:00"/>
    <s v="Pas réglé"/>
    <m/>
    <m/>
    <m/>
    <m/>
    <m/>
    <m/>
    <s v="80476/2023/1"/>
    <s v="8672/2024/PO/DRE/CAC/ND"/>
    <n v="1076436"/>
    <n v="645861.6"/>
    <n v="107643.6"/>
    <d v="2024-04-09T00:00:00"/>
    <s v="OK"/>
    <s v="Echue"/>
    <x v="0"/>
    <s v="OK"/>
    <s v="OK"/>
    <s v="Valide"/>
    <x v="376"/>
    <x v="376"/>
  </r>
  <r>
    <x v="377"/>
    <x v="3"/>
    <n v="99002416402"/>
    <s v="Banque Populaire"/>
    <x v="9"/>
    <s v="87783/2023/1"/>
    <x v="1"/>
    <s v="OK"/>
    <n v="0.5"/>
    <d v="2023-11-27T00:00:00"/>
    <d v="2025-05-27T00:00:00"/>
    <s v="Réglé"/>
    <d v="2023-02-11T00:00:00"/>
    <d v="2024-04-17T00:00:00"/>
    <s v="OCTROI"/>
    <s v="Front"/>
    <d v="2024-01-22T00:00:00"/>
    <m/>
    <s v="31182/2023/1"/>
    <s v="6249/2024/PO/DRE/CAC/ND"/>
    <n v="9505639"/>
    <n v="5703383.3999999994"/>
    <n v="950563.9"/>
    <d v="2024-04-28T00:00:00"/>
    <s v="OK"/>
    <s v="Valide"/>
    <x v="1"/>
    <s v="KO"/>
    <s v="OK"/>
    <s v="Valide"/>
    <x v="377"/>
    <x v="377"/>
  </r>
  <r>
    <x v="378"/>
    <x v="3"/>
    <n v="90124216711"/>
    <s v="Cosumar"/>
    <x v="8"/>
    <s v="88771/2023/1"/>
    <x v="1"/>
    <s v="KO"/>
    <n v="0.5"/>
    <d v="2023-02-09T00:00:00"/>
    <d v="2024-08-09T00:00:00"/>
    <s v="Réglé"/>
    <d v="2023-03-29T00:00:00"/>
    <d v="2023-11-20T00:00:00"/>
    <s v="OCTROI"/>
    <s v="Front"/>
    <d v="2024-11-11T00:00:00"/>
    <m/>
    <s v="15699/2023/1"/>
    <s v="7311/2024/PO/DRE/CAC/ND"/>
    <n v="2615064"/>
    <n v="1569038.4"/>
    <n v="261506.40000000002"/>
    <d v="2024-03-23T00:00:00"/>
    <s v="KO"/>
    <s v="Echue"/>
    <x v="0"/>
    <s v="KO"/>
    <s v="KO"/>
    <s v="A renouveller"/>
    <x v="378"/>
    <x v="378"/>
  </r>
  <r>
    <x v="379"/>
    <x v="3"/>
    <n v="20729356152"/>
    <s v="Maroc Telecom"/>
    <x v="7"/>
    <s v="42702/2023/1"/>
    <x v="1"/>
    <s v="KO"/>
    <n v="0.5"/>
    <d v="2023-06-19T00:00:00"/>
    <d v="2024-12-19T00:00:00"/>
    <s v="Réglé"/>
    <d v="2023-04-21T00:00:00"/>
    <d v="2023-11-16T00:00:00"/>
    <s v="DOUNIALI"/>
    <s v="Front"/>
    <d v="2024-01-25T00:00:00"/>
    <m/>
    <s v="30004/2023/1"/>
    <s v="7234/2024/PO/DRE/CAC/ND"/>
    <n v="6903521"/>
    <n v="4142112.5999999996"/>
    <n v="690352.10000000009"/>
    <d v="2024-09-13T00:00:00"/>
    <s v="KO"/>
    <s v="Valide"/>
    <x v="1"/>
    <s v="KO"/>
    <s v="KO"/>
    <s v="A renouveller"/>
    <x v="379"/>
    <x v="379"/>
  </r>
  <r>
    <x v="380"/>
    <x v="3"/>
    <n v="96533035946"/>
    <s v="Maroc Telecom"/>
    <x v="9"/>
    <s v="16714/2023/1"/>
    <x v="1"/>
    <s v="KO"/>
    <n v="0.6"/>
    <d v="2023-03-21T00:00:00"/>
    <d v="2024-09-21T00:00:00"/>
    <s v="Réglé"/>
    <d v="2023-04-29T00:00:00"/>
    <d v="2023-10-19T00:00:00"/>
    <s v="OCTROI"/>
    <s v="Tamwilcom"/>
    <d v="2024-04-06T00:00:00"/>
    <m/>
    <s v="12477/2023/1"/>
    <s v="3557/2024/PO/DRE/CAC/ND"/>
    <n v="2134592"/>
    <n v="1280755.2"/>
    <n v="213459.20000000001"/>
    <d v="2024-08-12T00:00:00"/>
    <s v="KO"/>
    <s v="Valide"/>
    <x v="1"/>
    <s v="KO"/>
    <s v="KO"/>
    <s v="A renouveller"/>
    <x v="380"/>
    <x v="380"/>
  </r>
  <r>
    <x v="381"/>
    <x v="3"/>
    <n v="57895781582"/>
    <s v="OCP Group"/>
    <x v="3"/>
    <s v="27955/2023/1"/>
    <x v="1"/>
    <s v="KO"/>
    <n v="0.7"/>
    <d v="2023-06-11T00:00:00"/>
    <d v="2024-12-11T00:00:00"/>
    <s v="Réglé"/>
    <d v="2023-01-31T00:00:00"/>
    <d v="2024-03-25T00:00:00"/>
    <s v="DOUNIALI"/>
    <s v="Tamwilcom"/>
    <d v="2024-11-10T00:00:00"/>
    <m/>
    <s v="91264/2023/1"/>
    <s v="6290/2024/PO/DRE/CAC/ND"/>
    <n v="5801413"/>
    <n v="3480847.8"/>
    <n v="580141.30000000005"/>
    <d v="2024-06-11T00:00:00"/>
    <s v="KO"/>
    <s v="Valide"/>
    <x v="1"/>
    <s v="OK"/>
    <s v="KO"/>
    <s v="A renouveller"/>
    <x v="381"/>
    <x v="381"/>
  </r>
  <r>
    <x v="382"/>
    <x v="3"/>
    <n v="69383501094"/>
    <s v="Ciments du Maroc"/>
    <x v="4"/>
    <s v="10730/2023/1"/>
    <x v="1"/>
    <s v="KO"/>
    <n v="0.5"/>
    <d v="2023-07-02T00:00:00"/>
    <d v="2025-01-02T00:00:00"/>
    <s v="Pas réglé"/>
    <m/>
    <m/>
    <m/>
    <m/>
    <m/>
    <m/>
    <s v="34904/2023/1"/>
    <s v="2172/2024/PO/DRE/CAC/ND"/>
    <n v="5511043"/>
    <n v="3306625.8"/>
    <n v="551104.30000000005"/>
    <d v="2024-01-03T00:00:00"/>
    <s v="KO"/>
    <s v="Echue"/>
    <x v="0"/>
    <s v="KO"/>
    <s v="KO"/>
    <s v="Valide"/>
    <x v="382"/>
    <x v="382"/>
  </r>
  <r>
    <x v="383"/>
    <x v="3"/>
    <n v="34938262818"/>
    <s v="Managem"/>
    <x v="3"/>
    <s v="92451/2023/1"/>
    <x v="0"/>
    <s v="KO"/>
    <n v="0.5"/>
    <d v="2023-05-18T00:00:00"/>
    <d v="2024-11-18T00:00:00"/>
    <s v="Pas réglé"/>
    <m/>
    <m/>
    <m/>
    <m/>
    <m/>
    <m/>
    <s v="40938/2023/1"/>
    <s v="9980/2024/PO/DRE/CAC/ND"/>
    <n v="3497936"/>
    <n v="2098761.6"/>
    <n v="349793.60000000003"/>
    <d v="2024-12-23T00:00:00"/>
    <s v="KO"/>
    <s v="Valide"/>
    <x v="1"/>
    <s v="OK"/>
    <s v="KO"/>
    <s v="Valide"/>
    <x v="383"/>
    <x v="383"/>
  </r>
  <r>
    <x v="384"/>
    <x v="3"/>
    <n v="12287361685"/>
    <s v="OCP Group"/>
    <x v="4"/>
    <s v="84334/2023/1"/>
    <x v="0"/>
    <s v="KO"/>
    <n v="0.6"/>
    <d v="2023-05-26T00:00:00"/>
    <d v="2024-11-26T00:00:00"/>
    <s v="Pas réglé"/>
    <m/>
    <m/>
    <m/>
    <m/>
    <m/>
    <m/>
    <s v="84783/2023/1"/>
    <s v="4767/2024/PO/DRE/CAC/ND"/>
    <n v="7042697"/>
    <n v="4225618.2"/>
    <n v="704269.70000000007"/>
    <d v="2024-08-24T00:00:00"/>
    <s v="KO"/>
    <s v="Valide"/>
    <x v="1"/>
    <s v="KO"/>
    <s v="KO"/>
    <s v="A renouveller"/>
    <x v="384"/>
    <x v="384"/>
  </r>
  <r>
    <x v="385"/>
    <x v="3"/>
    <n v="27797771216"/>
    <s v="Maroc Telecom"/>
    <x v="8"/>
    <s v="56667/2023/1"/>
    <x v="1"/>
    <s v="KO"/>
    <n v="0.6"/>
    <d v="2023-10-10T00:00:00"/>
    <d v="2025-04-10T00:00:00"/>
    <s v="Réglé"/>
    <d v="2023-11-09T00:00:00"/>
    <d v="2024-06-07T00:00:00"/>
    <s v="OCTROI"/>
    <s v="Front"/>
    <d v="2024-11-11T00:00:00"/>
    <m/>
    <s v="29253/2023/1"/>
    <s v="6824/2024/PO/DRE/CAC/ND"/>
    <n v="9946527"/>
    <n v="5967916.2000000002"/>
    <n v="994652.70000000007"/>
    <d v="2024-08-09T00:00:00"/>
    <s v="KO"/>
    <s v="Echue"/>
    <x v="0"/>
    <s v="KO"/>
    <s v="KO"/>
    <s v="A renouveller"/>
    <x v="385"/>
    <x v="385"/>
  </r>
  <r>
    <x v="386"/>
    <x v="3"/>
    <n v="83658958567"/>
    <s v="Maroc Telecom"/>
    <x v="8"/>
    <s v="80959/2023/1"/>
    <x v="1"/>
    <s v="KO"/>
    <n v="0.6"/>
    <d v="2023-08-11T00:00:00"/>
    <d v="2025-02-11T00:00:00"/>
    <s v="Pas réglé"/>
    <m/>
    <m/>
    <m/>
    <m/>
    <m/>
    <m/>
    <s v="99291/2023/1"/>
    <s v="6001/2024/PO/DRE/CAC/ND"/>
    <n v="5498902"/>
    <n v="3299341.1999999997"/>
    <n v="549890.20000000007"/>
    <d v="2024-01-18T00:00:00"/>
    <s v="KO"/>
    <s v="Echue"/>
    <x v="0"/>
    <s v="KO"/>
    <s v="KO"/>
    <s v="Valide"/>
    <x v="386"/>
    <x v="386"/>
  </r>
  <r>
    <x v="387"/>
    <x v="3"/>
    <n v="58006604994"/>
    <s v="2M Atlas"/>
    <x v="4"/>
    <s v="94600/2023/1"/>
    <x v="1"/>
    <s v="OK"/>
    <n v="0.7"/>
    <d v="2023-04-23T00:00:00"/>
    <d v="2024-10-23T00:00:00"/>
    <s v="Réglé"/>
    <d v="2023-09-24T00:00:00"/>
    <d v="2023-07-15T00:00:00"/>
    <s v="OCTROI"/>
    <s v="Front"/>
    <d v="2024-11-30T00:00:00"/>
    <m/>
    <s v="88288/2023/1"/>
    <s v="2510/2024/PO/DRE/CAC/ND"/>
    <n v="1769485"/>
    <n v="1061691"/>
    <n v="176948.5"/>
    <d v="2024-04-22T00:00:00"/>
    <s v="OK"/>
    <s v="Valide"/>
    <x v="1"/>
    <s v="OK"/>
    <s v="OK"/>
    <s v="Valide"/>
    <x v="387"/>
    <x v="387"/>
  </r>
  <r>
    <x v="388"/>
    <x v="3"/>
    <n v="62149273434"/>
    <s v="Managem"/>
    <x v="5"/>
    <s v="87606/2023/1"/>
    <x v="1"/>
    <s v="KO"/>
    <n v="0.5"/>
    <d v="2023-06-20T00:00:00"/>
    <d v="2024-12-20T00:00:00"/>
    <s v="Pas réglé"/>
    <m/>
    <m/>
    <m/>
    <m/>
    <m/>
    <m/>
    <s v="68692/2023/1"/>
    <s v="1727/2024/PO/DRE/CAC/ND"/>
    <n v="9537500"/>
    <n v="5722500"/>
    <n v="953750"/>
    <d v="2024-04-28T00:00:00"/>
    <s v="KO"/>
    <s v="Echue"/>
    <x v="0"/>
    <s v="KO"/>
    <s v="KO"/>
    <s v="Valide"/>
    <x v="388"/>
    <x v="388"/>
  </r>
  <r>
    <x v="389"/>
    <x v="3"/>
    <n v="34157273446"/>
    <s v="Ciments du Maroc"/>
    <x v="4"/>
    <s v="86418/2023/1"/>
    <x v="0"/>
    <s v="OK"/>
    <n v="0.6"/>
    <d v="2023-08-14T00:00:00"/>
    <d v="2025-02-14T00:00:00"/>
    <s v="Pas réglé"/>
    <m/>
    <m/>
    <m/>
    <m/>
    <m/>
    <m/>
    <s v="91087/2023/1"/>
    <s v="5732/2024/PO/DRE/CAC/ND"/>
    <n v="2025560"/>
    <n v="1215336"/>
    <n v="202556"/>
    <d v="2024-09-03T00:00:00"/>
    <s v="OK"/>
    <s v="Echue"/>
    <x v="0"/>
    <s v="OK"/>
    <s v="OK"/>
    <s v="A renouveller"/>
    <x v="389"/>
    <x v="389"/>
  </r>
  <r>
    <x v="390"/>
    <x v="3"/>
    <n v="71085168478"/>
    <s v="Cosumar"/>
    <x v="6"/>
    <s v="99154/2023/1"/>
    <x v="0"/>
    <s v="OK"/>
    <n v="0.6"/>
    <d v="2023-12-25T00:00:00"/>
    <d v="2025-06-25T00:00:00"/>
    <s v="Pas réglé"/>
    <m/>
    <m/>
    <m/>
    <m/>
    <m/>
    <m/>
    <s v="27881/2023/1"/>
    <s v="9866/2024/PO/DRE/CAC/ND"/>
    <n v="8831912"/>
    <n v="5299147.2"/>
    <n v="883191.20000000007"/>
    <d v="2024-06-09T00:00:00"/>
    <s v="OK"/>
    <s v="Valide"/>
    <x v="1"/>
    <s v="KO"/>
    <s v="OK"/>
    <s v="A renouveller"/>
    <x v="390"/>
    <x v="390"/>
  </r>
  <r>
    <x v="391"/>
    <x v="3"/>
    <n v="18684810209"/>
    <s v="Maghreb Steel"/>
    <x v="3"/>
    <s v="49169/2023/1"/>
    <x v="0"/>
    <s v="OK"/>
    <n v="0.7"/>
    <d v="2023-01-05T00:00:00"/>
    <d v="2024-07-05T00:00:00"/>
    <s v="Réglé"/>
    <d v="2023-05-26T00:00:00"/>
    <d v="2023-10-20T00:00:00"/>
    <s v="DOUNIALI"/>
    <s v="Tamwilcom"/>
    <d v="2024-08-10T00:00:00"/>
    <m/>
    <s v="45078/2023/1"/>
    <s v="2261/2024/PO/DRE/CAC/ND"/>
    <n v="3141522"/>
    <n v="1884913.2"/>
    <n v="314152.2"/>
    <d v="2024-11-10T00:00:00"/>
    <s v="OK"/>
    <s v="Echue"/>
    <x v="0"/>
    <s v="KO"/>
    <s v="OK"/>
    <s v="A renouveller"/>
    <x v="391"/>
    <x v="391"/>
  </r>
  <r>
    <x v="392"/>
    <x v="3"/>
    <n v="95404978898"/>
    <s v="Maroc Telecom"/>
    <x v="8"/>
    <s v="85029/2023/1"/>
    <x v="1"/>
    <s v="KO"/>
    <n v="0.6"/>
    <d v="2023-05-26T00:00:00"/>
    <d v="2024-11-26T00:00:00"/>
    <s v="Pas réglé"/>
    <m/>
    <m/>
    <m/>
    <m/>
    <m/>
    <m/>
    <s v="20846/2023/1"/>
    <s v="9282/2024/PO/DRE/CAC/ND"/>
    <n v="3594055"/>
    <n v="2156433"/>
    <n v="359405.5"/>
    <d v="2024-09-02T00:00:00"/>
    <s v="KO"/>
    <s v="Echue"/>
    <x v="0"/>
    <s v="OK"/>
    <s v="KO"/>
    <s v="A renouveller"/>
    <x v="392"/>
    <x v="392"/>
  </r>
  <r>
    <x v="393"/>
    <x v="3"/>
    <n v="36813905508"/>
    <s v="Ciments du Maroc"/>
    <x v="2"/>
    <s v="54067/2023/1"/>
    <x v="0"/>
    <s v="OK"/>
    <n v="0.6"/>
    <d v="2023-04-17T00:00:00"/>
    <d v="2024-10-17T00:00:00"/>
    <s v="Pas réglé"/>
    <m/>
    <m/>
    <m/>
    <m/>
    <m/>
    <m/>
    <s v="73528/2023/1"/>
    <s v="9703/2024/PO/DRE/CAC/ND"/>
    <n v="5893149"/>
    <n v="3535889.4"/>
    <n v="589314.9"/>
    <d v="2024-12-16T00:00:00"/>
    <s v="OK"/>
    <s v="Valide"/>
    <x v="1"/>
    <s v="OK"/>
    <s v="OK"/>
    <s v="A renouveller"/>
    <x v="393"/>
    <x v="393"/>
  </r>
  <r>
    <x v="394"/>
    <x v="3"/>
    <n v="71775980750"/>
    <s v="Ciments du Maroc"/>
    <x v="8"/>
    <s v="37916/2023/1"/>
    <x v="1"/>
    <s v="OK"/>
    <n v="0.7"/>
    <d v="2023-06-21T00:00:00"/>
    <d v="2024-12-21T00:00:00"/>
    <s v="Réglé"/>
    <d v="2023-06-08T00:00:00"/>
    <d v="2024-06-17T00:00:00"/>
    <s v="DOUNIALI"/>
    <s v="Front"/>
    <d v="2024-01-26T00:00:00"/>
    <m/>
    <s v="64882/2023/1"/>
    <s v="4743/2024/PO/DRE/CAC/ND"/>
    <n v="1678250"/>
    <n v="1006950"/>
    <n v="167825"/>
    <d v="2024-10-15T00:00:00"/>
    <s v="OK"/>
    <s v="Valide"/>
    <x v="1"/>
    <s v="OK"/>
    <s v="OK"/>
    <s v="Valide"/>
    <x v="394"/>
    <x v="394"/>
  </r>
  <r>
    <x v="395"/>
    <x v="3"/>
    <n v="49280273410"/>
    <s v="Maghreb Steel"/>
    <x v="7"/>
    <s v="83571/2023/1"/>
    <x v="0"/>
    <s v="KO"/>
    <n v="0.6"/>
    <d v="2023-02-15T00:00:00"/>
    <d v="2024-08-15T00:00:00"/>
    <s v="Réglé"/>
    <d v="2023-02-10T00:00:00"/>
    <d v="2023-12-01T00:00:00"/>
    <s v="DOUNIALI"/>
    <s v="Tamwilcom"/>
    <d v="2024-12-26T00:00:00"/>
    <m/>
    <s v="74712/2023/1"/>
    <s v="4347/2024/PO/DRE/CAC/ND"/>
    <n v="7656218"/>
    <n v="4593730.8"/>
    <n v="765621.8"/>
    <d v="2024-01-12T00:00:00"/>
    <s v="KO"/>
    <s v="Echue"/>
    <x v="0"/>
    <s v="KO"/>
    <s v="KO"/>
    <s v="A renouveller"/>
    <x v="395"/>
    <x v="395"/>
  </r>
  <r>
    <x v="396"/>
    <x v="3"/>
    <n v="35147762599"/>
    <s v="Banque Populaire"/>
    <x v="8"/>
    <s v="34951/2023/1"/>
    <x v="1"/>
    <s v="KO"/>
    <n v="0.5"/>
    <d v="2023-11-18T00:00:00"/>
    <d v="2025-05-18T00:00:00"/>
    <s v="Réglé"/>
    <d v="2023-12-14T00:00:00"/>
    <d v="2024-09-05T00:00:00"/>
    <s v="DOUNIALI"/>
    <s v="Tamwilcom"/>
    <d v="2024-07-31T00:00:00"/>
    <m/>
    <s v="13173/2023/1"/>
    <s v="2268/2024/PO/DRE/CAC/ND"/>
    <n v="5719111"/>
    <n v="3431466.6"/>
    <n v="571911.1"/>
    <d v="2024-03-02T00:00:00"/>
    <s v="KO"/>
    <s v="Valide"/>
    <x v="1"/>
    <s v="KO"/>
    <s v="KO"/>
    <s v="Valide"/>
    <x v="396"/>
    <x v="396"/>
  </r>
  <r>
    <x v="397"/>
    <x v="3"/>
    <n v="18311750849"/>
    <s v="Maghreb Steel"/>
    <x v="1"/>
    <s v="38743/2023/1"/>
    <x v="1"/>
    <s v="KO"/>
    <n v="0.7"/>
    <d v="2023-05-21T00:00:00"/>
    <d v="2024-11-21T00:00:00"/>
    <s v="Pas réglé"/>
    <m/>
    <m/>
    <m/>
    <m/>
    <m/>
    <m/>
    <s v="77513/2023/1"/>
    <s v="7541/2024/PO/DRE/CAC/ND"/>
    <n v="7585324"/>
    <n v="4551194.3999999994"/>
    <n v="758532.4"/>
    <d v="2024-10-29T00:00:00"/>
    <s v="KO"/>
    <s v="Echue"/>
    <x v="0"/>
    <s v="KO"/>
    <s v="KO"/>
    <s v="Valide"/>
    <x v="396"/>
    <x v="3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n v="70664731098"/>
    <x v="0"/>
    <n v="79554346445"/>
    <s v="2M Atlas"/>
    <s v="Centre Affaires Palmier"/>
    <s v="21554/2023/1"/>
    <s v="Renouvellement"/>
    <x v="0"/>
    <n v="0.6"/>
    <d v="2023-05-17T00:00:00"/>
    <d v="2024-11-17T00:00:00"/>
    <s v="Pas réglé"/>
    <m/>
    <m/>
    <m/>
    <m/>
    <m/>
    <m/>
    <s v="92891/2023/1"/>
    <s v="4150/2024/PO/DRE/CAC/ND"/>
    <n v="9490769"/>
    <n v="5694461.3999999994"/>
    <n v="949076.9"/>
    <d v="2024-03-17T00:00:00"/>
    <x v="0"/>
    <s v="Echue"/>
    <x v="0"/>
    <x v="0"/>
    <s v="OK"/>
    <x v="0"/>
    <n v="6668467"/>
    <n v="4001080.1999999997"/>
  </r>
  <r>
    <n v="66280402874"/>
    <x v="0"/>
    <n v="44218822471"/>
    <s v="Cosumar"/>
    <s v="Centre Affaires Gueliz"/>
    <s v="78467/2023/1"/>
    <s v="Mise en place"/>
    <x v="0"/>
    <n v="0.7"/>
    <d v="2023-10-15T00:00:00"/>
    <d v="2025-04-15T00:00:00"/>
    <s v="Pas réglé"/>
    <m/>
    <m/>
    <m/>
    <m/>
    <m/>
    <m/>
    <s v="62461/2023/1"/>
    <s v="2876/2024/PO/DRE/CAC/ND"/>
    <n v="6668467"/>
    <n v="4001080.1999999997"/>
    <n v="666846.70000000007"/>
    <d v="2024-11-29T00:00:00"/>
    <x v="0"/>
    <s v="Valide"/>
    <x v="1"/>
    <x v="1"/>
    <s v="OK"/>
    <x v="0"/>
    <n v="3021406"/>
    <n v="1812843.5999999999"/>
  </r>
  <r>
    <n v="70698999869"/>
    <x v="0"/>
    <n v="92226882915"/>
    <s v="BMCE Bank"/>
    <s v="Centre Affaires Anfa"/>
    <s v="83621/2023/1"/>
    <s v="Mise en place"/>
    <x v="0"/>
    <n v="0.5"/>
    <d v="2023-01-17T00:00:00"/>
    <d v="2024-07-17T00:00:00"/>
    <s v="Réglé"/>
    <d v="2023-10-06T00:00:00"/>
    <d v="2023-05-30T00:00:00"/>
    <s v="DOUNIALI"/>
    <s v="Front"/>
    <d v="2024-11-06T00:00:00"/>
    <s v="demander canevas"/>
    <s v="29193/2023/1"/>
    <s v="7093/2024/PO/DRE/CAC/ND"/>
    <n v="3021406"/>
    <n v="1812843.5999999999"/>
    <n v="302140.60000000003"/>
    <d v="2024-06-28T00:00:00"/>
    <x v="0"/>
    <s v="Echue"/>
    <x v="1"/>
    <x v="1"/>
    <s v="OK"/>
    <x v="0"/>
    <n v="4385814"/>
    <n v="2631488.4"/>
  </r>
  <r>
    <n v="13621943390"/>
    <x v="0"/>
    <n v="24256382979"/>
    <s v="Cosumar"/>
    <s v="Centre Affaires Hivernage"/>
    <s v="75836/2023/1"/>
    <s v="Mise en place"/>
    <x v="0"/>
    <n v="0.6"/>
    <d v="2023-07-13T00:00:00"/>
    <d v="2025-01-13T00:00:00"/>
    <s v="Pas réglé"/>
    <m/>
    <m/>
    <m/>
    <m/>
    <m/>
    <m/>
    <s v="22434/2023/1"/>
    <s v="7172/2024/PO/DRE/CAC/ND"/>
    <n v="4385814"/>
    <n v="2631488.4"/>
    <n v="438581.4"/>
    <d v="2024-09-18T00:00:00"/>
    <x v="1"/>
    <s v="Valide"/>
    <x v="1"/>
    <x v="1"/>
    <s v="KO"/>
    <x v="0"/>
    <n v="1399374"/>
    <n v="839624.4"/>
  </r>
  <r>
    <n v="39438844639"/>
    <x v="0"/>
    <n v="15834939355"/>
    <s v="Banque Populaire"/>
    <s v="Centre Affaires Agdal"/>
    <s v="68851/2023/1"/>
    <s v="Mise en place"/>
    <x v="0"/>
    <n v="0.6"/>
    <d v="2023-10-07T00:00:00"/>
    <d v="2025-04-07T00:00:00"/>
    <s v="Pas réglé"/>
    <m/>
    <m/>
    <m/>
    <m/>
    <m/>
    <m/>
    <s v="41055/2023/1"/>
    <s v="1547/2024/PO/DRE/CAC/ND"/>
    <n v="1399374"/>
    <n v="839624.4"/>
    <n v="139937.4"/>
    <d v="2024-04-23T00:00:00"/>
    <x v="0"/>
    <s v="Valide"/>
    <x v="1"/>
    <x v="0"/>
    <s v="OK"/>
    <x v="0"/>
    <n v="2720357"/>
    <n v="1632214.2"/>
  </r>
  <r>
    <n v="92068900305"/>
    <x v="0"/>
    <n v="90258909190"/>
    <s v="Société Générale Maroc"/>
    <s v="Centre Affaires Hivernage"/>
    <s v="29259/2023/1"/>
    <s v="Renouvellement"/>
    <x v="0"/>
    <n v="0.5"/>
    <d v="2023-11-01T00:00:00"/>
    <d v="2025-05-01T00:00:00"/>
    <s v="Pas réglé"/>
    <m/>
    <m/>
    <m/>
    <m/>
    <m/>
    <m/>
    <s v="76690/2023/1"/>
    <s v="3812/2024/PO/DRE/CAC/ND"/>
    <n v="2720357"/>
    <n v="1632214.2"/>
    <n v="272035.7"/>
    <d v="2024-07-15T00:00:00"/>
    <x v="0"/>
    <s v="Echue"/>
    <x v="1"/>
    <x v="1"/>
    <s v="OK"/>
    <x v="1"/>
    <n v="3877170"/>
    <n v="2326302"/>
  </r>
  <r>
    <n v="10937529086"/>
    <x v="0"/>
    <n v="19230422172"/>
    <s v="Banque Populaire"/>
    <s v="Centre Affaires Hivernage"/>
    <s v="61217/2023/1"/>
    <s v="Renouvellement"/>
    <x v="0"/>
    <n v="0.6"/>
    <d v="2023-05-18T00:00:00"/>
    <d v="2024-11-18T00:00:00"/>
    <s v="Réglé"/>
    <d v="2023-03-24T00:00:00"/>
    <d v="2023-08-03T00:00:00"/>
    <s v="DOUNIALI"/>
    <s v="Front"/>
    <d v="2024-03-08T00:00:00"/>
    <m/>
    <s v="56265/2023/1"/>
    <s v="5582/2024/PO/DRE/CAC/ND"/>
    <n v="3877170"/>
    <n v="2326302"/>
    <n v="387717"/>
    <d v="2024-12-19T00:00:00"/>
    <x v="1"/>
    <s v="Echue"/>
    <x v="1"/>
    <x v="1"/>
    <s v="KO"/>
    <x v="0"/>
    <n v="5440169"/>
    <n v="3264101.4"/>
  </r>
  <r>
    <n v="33248470109"/>
    <x v="0"/>
    <n v="10081762844"/>
    <s v="OCP Group"/>
    <s v="Centre Affaires Palmier"/>
    <s v="40972/2023/1"/>
    <s v="Renouvellement"/>
    <x v="0"/>
    <n v="0.6"/>
    <d v="2023-03-21T00:00:00"/>
    <d v="2024-09-21T00:00:00"/>
    <s v="Réglé"/>
    <d v="2023-12-05T00:00:00"/>
    <d v="2023-06-19T00:00:00"/>
    <s v="OCTROI"/>
    <s v="Front"/>
    <d v="2024-09-01T00:00:00"/>
    <m/>
    <s v="56269/2023/1"/>
    <s v="3857/2024/PO/DRE/CAC/ND"/>
    <n v="5440169"/>
    <n v="3264101.4"/>
    <n v="544016.9"/>
    <d v="2024-08-16T00:00:00"/>
    <x v="1"/>
    <s v="Echue"/>
    <x v="1"/>
    <x v="1"/>
    <s v="KO"/>
    <x v="1"/>
    <n v="8827317"/>
    <n v="5296390.2"/>
  </r>
  <r>
    <n v="11838722221"/>
    <x v="0"/>
    <n v="44448567637"/>
    <s v="Cosumar"/>
    <s v="Centre Affaires Chellah"/>
    <s v="79151/2023/1"/>
    <s v="Renouvellement"/>
    <x v="0"/>
    <n v="0.6"/>
    <d v="2023-01-13T00:00:00"/>
    <d v="2024-07-13T00:00:00"/>
    <s v="Pas réglé"/>
    <m/>
    <m/>
    <m/>
    <m/>
    <m/>
    <m/>
    <s v="92552/2023/1"/>
    <s v="8881/2024/PO/DRE/CAC/ND"/>
    <n v="8827317"/>
    <n v="5296390.2"/>
    <n v="882731.70000000007"/>
    <d v="2024-05-29T00:00:00"/>
    <x v="1"/>
    <s v="Echue"/>
    <x v="1"/>
    <x v="0"/>
    <s v="KO"/>
    <x v="0"/>
    <n v="8806105"/>
    <n v="5283663"/>
  </r>
  <r>
    <n v="18146914552"/>
    <x v="0"/>
    <n v="24651475066"/>
    <s v="Maghreb Steel"/>
    <s v="Centre Affaires Agdal"/>
    <s v="90406/2023/1"/>
    <s v="Renouvellement"/>
    <x v="0"/>
    <n v="0.5"/>
    <d v="2023-06-20T00:00:00"/>
    <d v="2024-12-20T00:00:00"/>
    <s v="Réglé"/>
    <d v="2023-10-31T00:00:00"/>
    <d v="2024-01-21T00:00:00"/>
    <s v="DOUNIALI"/>
    <s v="Front"/>
    <d v="2024-03-03T00:00:00"/>
    <m/>
    <s v="62628/2023/1"/>
    <s v="2282/2024/PO/DRE/CAC/ND"/>
    <n v="8806105"/>
    <n v="5283663"/>
    <n v="880610.5"/>
    <d v="2024-09-20T00:00:00"/>
    <x v="1"/>
    <s v="Echue"/>
    <x v="1"/>
    <x v="0"/>
    <s v="KO"/>
    <x v="0"/>
    <n v="2420270"/>
    <n v="1452162"/>
  </r>
  <r>
    <n v="20178221073"/>
    <x v="0"/>
    <n v="14936950089"/>
    <s v="BMCE Bank"/>
    <s v="Centre Affaires Hivernage"/>
    <s v="53539/2023/1"/>
    <s v="Renouvellement"/>
    <x v="0"/>
    <n v="0.6"/>
    <d v="2023-11-18T00:00:00"/>
    <d v="2025-05-18T00:00:00"/>
    <s v="Réglé"/>
    <d v="2023-03-27T00:00:00"/>
    <d v="2024-08-04T00:00:00"/>
    <s v="DOUNIALI"/>
    <s v="Front"/>
    <d v="2024-09-09T00:00:00"/>
    <m/>
    <s v="38445/2023/1"/>
    <s v="7556/2024/PO/DRE/CAC/ND"/>
    <n v="2420270"/>
    <n v="1452162"/>
    <n v="242027"/>
    <d v="2024-11-29T00:00:00"/>
    <x v="0"/>
    <s v="Echue"/>
    <x v="1"/>
    <x v="1"/>
    <s v="OK"/>
    <x v="1"/>
    <n v="3838379"/>
    <n v="2303027.4"/>
  </r>
  <r>
    <n v="77928280968"/>
    <x v="0"/>
    <n v="97438695954"/>
    <s v="Ciments du Maroc"/>
    <s v="Centre Affaires Hassan"/>
    <s v="62668/2023/1"/>
    <s v="Renouvellement"/>
    <x v="0"/>
    <n v="0.7"/>
    <d v="2023-09-22T00:00:00"/>
    <d v="2025-03-22T00:00:00"/>
    <s v="Pas réglé"/>
    <m/>
    <m/>
    <m/>
    <m/>
    <m/>
    <m/>
    <s v="84053/2023/1"/>
    <s v="8574/2024/PO/DRE/CAC/ND"/>
    <n v="3838379"/>
    <n v="2303027.4"/>
    <n v="383837.9"/>
    <d v="2024-06-20T00:00:00"/>
    <x v="0"/>
    <s v="Valide"/>
    <x v="1"/>
    <x v="1"/>
    <s v="OK"/>
    <x v="0"/>
    <n v="3490806"/>
    <n v="2094483.5999999999"/>
  </r>
  <r>
    <n v="80983361415"/>
    <x v="0"/>
    <n v="17366303576"/>
    <s v="OCP Group"/>
    <s v="Centre Affaires Centre Ville"/>
    <s v="60893/2023/1"/>
    <s v="Mise en place"/>
    <x v="0"/>
    <n v="0.6"/>
    <d v="2023-10-24T00:00:00"/>
    <d v="2025-04-24T00:00:00"/>
    <s v="Réglé"/>
    <d v="2023-03-21T00:00:00"/>
    <d v="2023-11-21T00:00:00"/>
    <s v="OCTROI"/>
    <s v="Front"/>
    <d v="2024-08-20T00:00:00"/>
    <s v="non localisé"/>
    <s v="16571/2023/1"/>
    <s v="9332/2024/PO/DRE/CAC/ND"/>
    <n v="3490806"/>
    <n v="2094483.5999999999"/>
    <n v="349080.60000000003"/>
    <d v="2024-10-20T00:00:00"/>
    <x v="0"/>
    <s v="Echue"/>
    <x v="1"/>
    <x v="1"/>
    <s v="OK"/>
    <x v="1"/>
    <n v="3827774"/>
    <n v="2296664.4"/>
  </r>
  <r>
    <n v="42355183087"/>
    <x v="0"/>
    <n v="84560662767"/>
    <s v="Maghreb Steel"/>
    <s v="Centre Affaires Anfa"/>
    <s v="23878/2023/1"/>
    <s v="Renouvellement"/>
    <x v="0"/>
    <n v="0.6"/>
    <d v="2023-04-20T00:00:00"/>
    <d v="2024-10-20T00:00:00"/>
    <s v="Pas réglé"/>
    <m/>
    <m/>
    <m/>
    <m/>
    <m/>
    <m/>
    <s v="49818/2023/1"/>
    <s v="5924/2024/PO/DRE/CAC/ND"/>
    <n v="3827774"/>
    <n v="2296664.4"/>
    <n v="382777.4"/>
    <d v="2024-05-01T00:00:00"/>
    <x v="0"/>
    <s v="Valide"/>
    <x v="1"/>
    <x v="1"/>
    <s v="OK"/>
    <x v="0"/>
    <n v="9547440"/>
    <n v="5728464"/>
  </r>
  <r>
    <n v="23074383804"/>
    <x v="0"/>
    <n v="54234709072"/>
    <s v="2M Atlas"/>
    <s v="Centre Affaires Gueliz"/>
    <s v="49412/2023/1"/>
    <s v="Mise en place"/>
    <x v="0"/>
    <n v="0.6"/>
    <d v="2023-02-24T00:00:00"/>
    <d v="2024-08-24T00:00:00"/>
    <s v="Réglé"/>
    <d v="2023-04-19T00:00:00"/>
    <d v="2023-03-11T00:00:00"/>
    <s v="OCTROI"/>
    <s v="Tamwilcom"/>
    <d v="2024-12-27T00:00:00"/>
    <m/>
    <s v="37924/2023/1"/>
    <s v="2563/2024/PO/DRE/CAC/ND"/>
    <n v="9547440"/>
    <n v="5728464"/>
    <n v="954744"/>
    <d v="2024-05-29T00:00:00"/>
    <x v="1"/>
    <s v="Valide"/>
    <x v="1"/>
    <x v="1"/>
    <s v="KO"/>
    <x v="0"/>
    <n v="7638828"/>
    <n v="4583296.8"/>
  </r>
  <r>
    <n v="92092249277"/>
    <x v="0"/>
    <n v="20568765561"/>
    <s v="Maroc Telecom"/>
    <s v="Centre Affaires Palmier"/>
    <s v="84393/2023/1"/>
    <s v="Renouvellement"/>
    <x v="0"/>
    <n v="0.6"/>
    <d v="2023-12-24T00:00:00"/>
    <d v="2025-06-24T00:00:00"/>
    <s v="Réglé"/>
    <d v="2023-06-11T00:00:00"/>
    <d v="2024-11-09T00:00:00"/>
    <s v="OCTROI"/>
    <s v="Front"/>
    <d v="2024-04-26T00:00:00"/>
    <m/>
    <s v="21911/2023/1"/>
    <s v="7259/2024/PO/DRE/CAC/ND"/>
    <n v="7638828"/>
    <n v="4583296.8"/>
    <n v="763882.8"/>
    <d v="2024-04-03T00:00:00"/>
    <x v="1"/>
    <s v="Echue"/>
    <x v="1"/>
    <x v="1"/>
    <s v="KO"/>
    <x v="0"/>
    <n v="4718455"/>
    <n v="2831073"/>
  </r>
  <r>
    <n v="80087074476"/>
    <x v="0"/>
    <n v="97462877906"/>
    <s v="Cosumar"/>
    <s v="Centre Affaires Hassan"/>
    <s v="30956/2023/1"/>
    <s v="Renouvellement"/>
    <x v="0"/>
    <n v="0.6"/>
    <d v="2023-11-21T00:00:00"/>
    <d v="2025-05-21T00:00:00"/>
    <s v="Pas réglé"/>
    <m/>
    <m/>
    <m/>
    <m/>
    <m/>
    <m/>
    <s v="42219/2023/1"/>
    <s v="2418/2024/PO/DRE/CAC/ND"/>
    <n v="4718455"/>
    <n v="2831073"/>
    <n v="471845.5"/>
    <d v="2024-02-29T00:00:00"/>
    <x v="0"/>
    <s v="Echue"/>
    <x v="1"/>
    <x v="1"/>
    <s v="OK"/>
    <x v="0"/>
    <n v="3529036"/>
    <n v="2117421.6"/>
  </r>
  <r>
    <n v="59752189305"/>
    <x v="0"/>
    <n v="84406524158"/>
    <s v="OCP Group"/>
    <s v="Centre Affaires Palmier"/>
    <s v="33934/2023/1"/>
    <s v="Mise en place"/>
    <x v="0"/>
    <n v="0.6"/>
    <d v="2023-06-08T00:00:00"/>
    <d v="2024-12-08T00:00:00"/>
    <s v="Pas réglé"/>
    <m/>
    <m/>
    <m/>
    <m/>
    <m/>
    <m/>
    <s v="86141/2023/1"/>
    <s v="7305/2024/PO/DRE/CAC/ND"/>
    <n v="3529036"/>
    <n v="2117421.6"/>
    <n v="352903.60000000003"/>
    <d v="2024-03-11T00:00:00"/>
    <x v="0"/>
    <s v="Valide"/>
    <x v="1"/>
    <x v="0"/>
    <s v="OK"/>
    <x v="1"/>
    <n v="1689470"/>
    <n v="1013682"/>
  </r>
  <r>
    <n v="54795657553"/>
    <x v="0"/>
    <n v="18686871956"/>
    <s v="Banque Populaire"/>
    <s v="Centre Affaires Hivernage"/>
    <s v="46592/2023/1"/>
    <s v="Renouvellement"/>
    <x v="0"/>
    <n v="0.6"/>
    <d v="2023-04-02T00:00:00"/>
    <d v="2024-10-02T00:00:00"/>
    <s v="Réglé"/>
    <d v="2023-12-21T00:00:00"/>
    <d v="2024-01-08T00:00:00"/>
    <s v="OCTROI"/>
    <s v="Tamwilcom"/>
    <d v="2024-11-14T00:00:00"/>
    <m/>
    <s v="50037/2023/1"/>
    <s v="9619/2024/PO/DRE/CAC/ND"/>
    <n v="1689470"/>
    <n v="1013682"/>
    <n v="168947"/>
    <d v="2024-07-21T00:00:00"/>
    <x v="1"/>
    <s v="Echue"/>
    <x v="1"/>
    <x v="0"/>
    <s v="KO"/>
    <x v="0"/>
    <n v="3717814"/>
    <n v="2230688.4"/>
  </r>
  <r>
    <n v="17583843191"/>
    <x v="0"/>
    <n v="73080038306"/>
    <s v="Ciments du Maroc"/>
    <s v="Centre Affaires Hassan"/>
    <s v="83850/2023/1"/>
    <s v="Mise en place"/>
    <x v="0"/>
    <n v="0.6"/>
    <d v="2023-01-16T00:00:00"/>
    <d v="2024-07-16T00:00:00"/>
    <s v="Réglé"/>
    <d v="2023-01-10T00:00:00"/>
    <d v="2023-03-07T00:00:00"/>
    <s v="OCTROI"/>
    <s v="Front"/>
    <d v="2024-06-19T00:00:00"/>
    <m/>
    <s v="13803/2023/1"/>
    <s v="2686/2024/PO/DRE/CAC/ND"/>
    <n v="3717814"/>
    <n v="2230688.4"/>
    <n v="371781.4"/>
    <d v="2024-12-28T00:00:00"/>
    <x v="1"/>
    <s v="Valide"/>
    <x v="1"/>
    <x v="0"/>
    <s v="KO"/>
    <x v="1"/>
    <n v="6216645"/>
    <n v="3729987"/>
  </r>
  <r>
    <n v="12098434708"/>
    <x v="0"/>
    <n v="28926351334"/>
    <s v="Ciments du Maroc"/>
    <s v="Centre Affaires Hassan"/>
    <s v="25305/2023/1"/>
    <s v="Renouvellement"/>
    <x v="0"/>
    <n v="0.6"/>
    <d v="2023-01-09T00:00:00"/>
    <d v="2024-07-09T00:00:00"/>
    <s v="Pas réglé"/>
    <m/>
    <m/>
    <m/>
    <m/>
    <m/>
    <m/>
    <s v="82296/2023/1"/>
    <s v="3496/2024/PO/DRE/CAC/ND"/>
    <n v="6216645"/>
    <n v="3729987"/>
    <n v="621664.5"/>
    <d v="2024-04-26T00:00:00"/>
    <x v="1"/>
    <s v="Echue"/>
    <x v="1"/>
    <x v="1"/>
    <s v="KO"/>
    <x v="0"/>
    <n v="4924366"/>
    <n v="2954619.6"/>
  </r>
  <r>
    <n v="76147171218"/>
    <x v="0"/>
    <n v="87786163859"/>
    <s v="Société Générale Maroc"/>
    <s v="Centre Affaires Palmier"/>
    <s v="73630/2023/1"/>
    <s v="Renouvellement"/>
    <x v="0"/>
    <n v="0.6"/>
    <d v="2023-04-16T00:00:00"/>
    <d v="2024-10-16T00:00:00"/>
    <s v="Pas réglé"/>
    <m/>
    <m/>
    <m/>
    <m/>
    <m/>
    <m/>
    <s v="75804/2023/1"/>
    <s v="3654/2024/PO/DRE/CAC/ND"/>
    <n v="4924366"/>
    <n v="2954619.6"/>
    <n v="492436.60000000003"/>
    <d v="2024-06-07T00:00:00"/>
    <x v="1"/>
    <s v="Echue"/>
    <x v="1"/>
    <x v="1"/>
    <s v="KO"/>
    <x v="0"/>
    <n v="3451388"/>
    <n v="2070832.7999999998"/>
  </r>
  <r>
    <n v="95426749268"/>
    <x v="0"/>
    <n v="35109109344"/>
    <s v="Banque Populaire"/>
    <s v="Centre Affaires Hassan"/>
    <s v="64808/2023/1"/>
    <s v="Renouvellement"/>
    <x v="0"/>
    <n v="0.6"/>
    <d v="2023-02-01T00:00:00"/>
    <d v="2024-08-01T00:00:00"/>
    <s v="Réglé"/>
    <d v="2023-03-23T00:00:00"/>
    <d v="2023-06-10T00:00:00"/>
    <s v="OCTROI"/>
    <s v="Tamwilcom"/>
    <d v="2024-07-23T00:00:00"/>
    <m/>
    <s v="90313/2023/1"/>
    <s v="9350/2024/PO/DRE/CAC/ND"/>
    <n v="3451388"/>
    <n v="2070832.7999999998"/>
    <n v="345138.80000000005"/>
    <d v="2024-01-06T00:00:00"/>
    <x v="0"/>
    <s v="Valide"/>
    <x v="1"/>
    <x v="0"/>
    <s v="OK"/>
    <x v="1"/>
    <n v="1248658"/>
    <n v="749194.79999999993"/>
  </r>
  <r>
    <n v="11131865799"/>
    <x v="0"/>
    <n v="91937346298"/>
    <s v="BMCE Bank"/>
    <s v="Centre Affaires Gueliz"/>
    <s v="36107/2023/1"/>
    <s v="Mise en place"/>
    <x v="0"/>
    <n v="0.6"/>
    <d v="2023-02-24T00:00:00"/>
    <d v="2024-08-24T00:00:00"/>
    <s v="Réglé"/>
    <d v="2023-10-30T00:00:00"/>
    <d v="2023-07-04T00:00:00"/>
    <s v="OCTROI"/>
    <s v="Front"/>
    <d v="2024-03-28T00:00:00"/>
    <m/>
    <s v="18599/2023/1"/>
    <s v="9872/2024/PO/DRE/CAC/ND"/>
    <n v="1248658"/>
    <n v="749194.79999999993"/>
    <n v="124865.8"/>
    <d v="2024-04-20T00:00:00"/>
    <x v="1"/>
    <s v="Echue"/>
    <x v="1"/>
    <x v="0"/>
    <s v="KO"/>
    <x v="1"/>
    <n v="6364718"/>
    <n v="3818830.8"/>
  </r>
  <r>
    <n v="31280830234"/>
    <x v="0"/>
    <n v="52516328677"/>
    <s v="Managem"/>
    <s v="Centre Affaires Hivernage"/>
    <s v="59999/2023/1"/>
    <s v="Mise en place"/>
    <x v="1"/>
    <n v="0.7"/>
    <d v="2023-12-23T00:00:00"/>
    <d v="2025-06-23T00:00:00"/>
    <s v="Pas réglé"/>
    <m/>
    <m/>
    <m/>
    <m/>
    <m/>
    <m/>
    <s v="36064/2023/1"/>
    <s v="2183/2024/PO/DRE/CAC/ND"/>
    <n v="6364718"/>
    <n v="3818830.8"/>
    <n v="636471.80000000005"/>
    <d v="2024-10-30T00:00:00"/>
    <x v="1"/>
    <s v="Echue"/>
    <x v="1"/>
    <x v="1"/>
    <s v="KO"/>
    <x v="1"/>
    <n v="8360286"/>
    <n v="5016171.5999999996"/>
  </r>
  <r>
    <n v="35615078893"/>
    <x v="0"/>
    <n v="59199015254"/>
    <s v="OCP Group"/>
    <s v="Centre Affaires Chellah"/>
    <s v="95718/2023/1"/>
    <s v="Renouvellement"/>
    <x v="1"/>
    <n v="0.6"/>
    <d v="2023-03-10T00:00:00"/>
    <d v="2024-09-10T00:00:00"/>
    <s v="Réglé"/>
    <d v="2023-08-18T00:00:00"/>
    <d v="2023-09-20T00:00:00"/>
    <s v="DOUNIALI"/>
    <s v="Front"/>
    <d v="2024-12-12T00:00:00"/>
    <m/>
    <s v="63920/2023/1"/>
    <s v="3914/2024/PO/DRE/CAC/ND"/>
    <n v="8360286"/>
    <n v="5016171.5999999996"/>
    <n v="836028.60000000009"/>
    <d v="2024-09-15T00:00:00"/>
    <x v="1"/>
    <s v="Valide"/>
    <x v="1"/>
    <x v="1"/>
    <s v="KO"/>
    <x v="1"/>
    <n v="4489120"/>
    <n v="2693472"/>
  </r>
  <r>
    <n v="38905228526"/>
    <x v="0"/>
    <n v="95188652202"/>
    <s v="Maghreb Steel"/>
    <s v="Centre Affaires Chellah"/>
    <s v="52938/2023/1"/>
    <s v="Renouvellement"/>
    <x v="1"/>
    <n v="0.5"/>
    <d v="2023-07-28T00:00:00"/>
    <d v="2025-01-28T00:00:00"/>
    <s v="Pas réglé"/>
    <m/>
    <m/>
    <m/>
    <m/>
    <m/>
    <m/>
    <s v="56967/2023/1"/>
    <s v="2523/2024/PO/DRE/CAC/ND"/>
    <n v="4489120"/>
    <n v="2693472"/>
    <n v="448912"/>
    <d v="2024-05-22T00:00:00"/>
    <x v="1"/>
    <s v="Valide"/>
    <x v="1"/>
    <x v="0"/>
    <s v="KO"/>
    <x v="0"/>
    <n v="1612653"/>
    <n v="967591.79999999993"/>
  </r>
  <r>
    <n v="41845461571"/>
    <x v="0"/>
    <n v="82813507287"/>
    <s v="BMCE Bank"/>
    <s v="Centre Affaires Centre Ville"/>
    <s v="43478/2023/1"/>
    <s v="Renouvellement"/>
    <x v="1"/>
    <n v="0.6"/>
    <d v="2023-02-10T00:00:00"/>
    <d v="2024-08-10T00:00:00"/>
    <s v="Réglé"/>
    <d v="2023-07-15T00:00:00"/>
    <d v="2024-01-25T00:00:00"/>
    <s v="OCTROI"/>
    <s v="Front"/>
    <d v="2024-07-19T00:00:00"/>
    <m/>
    <s v="11251/2023/1"/>
    <s v="1250/2024/PO/DRE/CAC/ND"/>
    <n v="1612653"/>
    <n v="967591.79999999993"/>
    <n v="161265.30000000002"/>
    <d v="2024-03-03T00:00:00"/>
    <x v="1"/>
    <s v="Valide"/>
    <x v="1"/>
    <x v="1"/>
    <s v="KO"/>
    <x v="1"/>
    <n v="2319531"/>
    <n v="1391718.5999999999"/>
  </r>
  <r>
    <n v="47532003862"/>
    <x v="0"/>
    <n v="67209129585"/>
    <s v="Maghreb Steel"/>
    <s v="Centre Affaires Palmier"/>
    <s v="61149/2023/1"/>
    <s v="Mise en place"/>
    <x v="0"/>
    <n v="0.6"/>
    <d v="2023-12-29T00:00:00"/>
    <d v="2025-06-29T00:00:00"/>
    <s v="Pas réglé"/>
    <m/>
    <m/>
    <m/>
    <m/>
    <m/>
    <m/>
    <s v="87864/2023/1"/>
    <s v="5241/2024/PO/DRE/CAC/ND"/>
    <n v="2319531"/>
    <n v="1391718.5999999999"/>
    <n v="231953.1"/>
    <d v="2024-01-11T00:00:00"/>
    <x v="0"/>
    <s v="Echue"/>
    <x v="1"/>
    <x v="1"/>
    <s v="OK"/>
    <x v="1"/>
    <n v="5512425"/>
    <n v="3307455"/>
  </r>
  <r>
    <n v="62956639508"/>
    <x v="0"/>
    <n v="59712898638"/>
    <s v="Ciments du Maroc"/>
    <s v="Centre Affaires Anfa"/>
    <s v="54274/2023/1"/>
    <s v="Mise en place"/>
    <x v="1"/>
    <n v="0.7"/>
    <d v="2023-09-13T00:00:00"/>
    <d v="2025-03-13T00:00:00"/>
    <s v="Pas réglé"/>
    <m/>
    <m/>
    <m/>
    <m/>
    <m/>
    <m/>
    <s v="59444/2023/1"/>
    <s v="7344/2024/PO/DRE/CAC/ND"/>
    <n v="5512425"/>
    <n v="3307455"/>
    <n v="551242.5"/>
    <d v="2024-01-31T00:00:00"/>
    <x v="1"/>
    <s v="Valide"/>
    <x v="1"/>
    <x v="1"/>
    <s v="KO"/>
    <x v="0"/>
    <n v="8523548"/>
    <n v="5114128.8"/>
  </r>
  <r>
    <n v="77307468843"/>
    <x v="0"/>
    <n v="47683229420"/>
    <s v="Société Générale Maroc"/>
    <s v="Centre Affaires Gueliz"/>
    <s v="45281/2023/1"/>
    <s v="Renouvellement"/>
    <x v="1"/>
    <n v="0.7"/>
    <d v="2023-02-22T00:00:00"/>
    <d v="2024-08-22T00:00:00"/>
    <s v="Réglé"/>
    <d v="2023-04-12T00:00:00"/>
    <d v="2024-02-15T00:00:00"/>
    <s v="OCTROI"/>
    <s v="Front"/>
    <d v="2024-01-19T00:00:00"/>
    <m/>
    <s v="14255/2023/1"/>
    <s v="9283/2024/PO/DRE/CAC/ND"/>
    <n v="8523548"/>
    <n v="5114128.8"/>
    <n v="852354.8"/>
    <d v="2024-06-30T00:00:00"/>
    <x v="1"/>
    <s v="Echue"/>
    <x v="1"/>
    <x v="0"/>
    <s v="KO"/>
    <x v="0"/>
    <n v="4637990"/>
    <n v="2782794"/>
  </r>
  <r>
    <n v="51462069779"/>
    <x v="0"/>
    <n v="70428125422"/>
    <s v="BMCE Bank"/>
    <s v="Centre Affaires Anfa"/>
    <s v="47933/2023/1"/>
    <s v="Mise en place"/>
    <x v="1"/>
    <n v="0.6"/>
    <d v="2023-04-20T00:00:00"/>
    <d v="2024-10-20T00:00:00"/>
    <s v="Réglé"/>
    <d v="2023-11-26T00:00:00"/>
    <d v="2024-03-15T00:00:00"/>
    <s v="DOUNIALI"/>
    <s v="Tamwilcom"/>
    <d v="2024-02-25T00:00:00"/>
    <m/>
    <s v="87646/2023/1"/>
    <s v="3058/2024/PO/DRE/CAC/ND"/>
    <n v="4637990"/>
    <n v="2782794"/>
    <n v="463799"/>
    <d v="2024-06-21T00:00:00"/>
    <x v="1"/>
    <s v="Valide"/>
    <x v="1"/>
    <x v="0"/>
    <s v="KO"/>
    <x v="1"/>
    <n v="9695693"/>
    <n v="5817415.7999999998"/>
  </r>
  <r>
    <n v="42968701088"/>
    <x v="0"/>
    <n v="82577958979"/>
    <s v="Ciments du Maroc"/>
    <s v="Centre Affaires Centre Ville"/>
    <s v="73359/2023/1"/>
    <s v="Renouvellement"/>
    <x v="0"/>
    <n v="0.7"/>
    <d v="2023-09-07T00:00:00"/>
    <d v="2025-03-07T00:00:00"/>
    <s v="Pas réglé"/>
    <m/>
    <m/>
    <m/>
    <m/>
    <m/>
    <m/>
    <s v="16320/2023/1"/>
    <s v="8455/2024/PO/DRE/CAC/ND"/>
    <n v="9695693"/>
    <n v="5817415.7999999998"/>
    <n v="969569.3"/>
    <d v="2024-10-31T00:00:00"/>
    <x v="0"/>
    <s v="Valide"/>
    <x v="1"/>
    <x v="0"/>
    <s v="OK"/>
    <x v="0"/>
    <n v="6526961"/>
    <n v="3916176.5999999996"/>
  </r>
  <r>
    <n v="38113178690"/>
    <x v="0"/>
    <n v="17295789700"/>
    <s v="Société Générale Maroc"/>
    <s v="Centre Affaires Hivernage"/>
    <s v="49736/2023/1"/>
    <s v="Renouvellement"/>
    <x v="1"/>
    <n v="0.6"/>
    <d v="2023-11-18T00:00:00"/>
    <d v="2025-05-18T00:00:00"/>
    <s v="Pas réglé"/>
    <m/>
    <m/>
    <m/>
    <m/>
    <m/>
    <m/>
    <s v="33283/2023/1"/>
    <s v="1973/2024/PO/DRE/CAC/ND"/>
    <n v="6526961"/>
    <n v="3916176.5999999996"/>
    <n v="652696.10000000009"/>
    <d v="2024-10-31T00:00:00"/>
    <x v="1"/>
    <s v="Echue"/>
    <x v="1"/>
    <x v="1"/>
    <s v="KO"/>
    <x v="0"/>
    <n v="2619427"/>
    <n v="1571656.2"/>
  </r>
  <r>
    <n v="86351886123"/>
    <x v="0"/>
    <n v="25653858519"/>
    <s v="Banque Populaire"/>
    <s v="Centre Affaires Palmier"/>
    <s v="68698/2023/1"/>
    <s v="Renouvellement"/>
    <x v="0"/>
    <n v="0.5"/>
    <d v="2023-02-09T00:00:00"/>
    <d v="2024-08-09T00:00:00"/>
    <s v="Réglé"/>
    <d v="2023-03-05T00:00:00"/>
    <d v="2023-05-06T00:00:00"/>
    <s v="OCTROI"/>
    <s v="Tamwilcom"/>
    <d v="2024-05-19T00:00:00"/>
    <m/>
    <s v="70911/2023/1"/>
    <s v="3579/2024/PO/DRE/CAC/ND"/>
    <n v="2619427"/>
    <n v="1571656.2"/>
    <n v="261942.7"/>
    <d v="2024-06-05T00:00:00"/>
    <x v="0"/>
    <s v="Echue"/>
    <x v="1"/>
    <x v="0"/>
    <s v="OK"/>
    <x v="1"/>
    <n v="5102501"/>
    <n v="3061500.6"/>
  </r>
  <r>
    <n v="61708540312"/>
    <x v="0"/>
    <n v="99922940371"/>
    <s v="Banque Populaire"/>
    <s v="Centre Affaires Palmier"/>
    <s v="58242/2023/1"/>
    <s v="Renouvellement"/>
    <x v="0"/>
    <n v="0.6"/>
    <d v="2023-07-14T00:00:00"/>
    <d v="2025-01-14T00:00:00"/>
    <s v="Réglé"/>
    <d v="2023-11-19T00:00:00"/>
    <d v="2023-08-20T00:00:00"/>
    <s v="DOUNIALI"/>
    <s v="Front"/>
    <d v="2024-08-27T00:00:00"/>
    <m/>
    <s v="74974/2023/1"/>
    <s v="2371/2024/PO/DRE/CAC/ND"/>
    <n v="5102501"/>
    <n v="3061500.6"/>
    <n v="510250.10000000003"/>
    <d v="2024-01-12T00:00:00"/>
    <x v="0"/>
    <s v="Echue"/>
    <x v="1"/>
    <x v="0"/>
    <s v="OK"/>
    <x v="1"/>
    <n v="4366266"/>
    <n v="2619759.6"/>
  </r>
  <r>
    <n v="45813285169"/>
    <x v="0"/>
    <n v="95917104490"/>
    <s v="2M Atlas"/>
    <s v="Centre Affaires Hivernage"/>
    <s v="88526/2023/1"/>
    <s v="Renouvellement"/>
    <x v="1"/>
    <n v="0.5"/>
    <d v="2023-08-13T00:00:00"/>
    <d v="2025-02-13T00:00:00"/>
    <s v="Réglé"/>
    <d v="2023-11-25T00:00:00"/>
    <d v="2024-06-02T00:00:00"/>
    <s v="OCTROI"/>
    <s v="Tamwilcom"/>
    <d v="2024-05-18T00:00:00"/>
    <m/>
    <s v="15944/2023/1"/>
    <s v="1588/2024/PO/DRE/CAC/ND"/>
    <n v="4366266"/>
    <n v="2619759.6"/>
    <n v="436626.60000000003"/>
    <d v="2024-07-17T00:00:00"/>
    <x v="1"/>
    <s v="Valide"/>
    <x v="1"/>
    <x v="0"/>
    <s v="KO"/>
    <x v="1"/>
    <n v="4906438"/>
    <n v="2943862.8"/>
  </r>
  <r>
    <n v="16262046832"/>
    <x v="0"/>
    <n v="31672884824"/>
    <s v="Société Générale Maroc"/>
    <s v="Centre Affaires Maarif"/>
    <s v="38591/2023/1"/>
    <s v="Mise en place"/>
    <x v="1"/>
    <n v="0.6"/>
    <d v="2023-12-27T00:00:00"/>
    <d v="2025-06-27T00:00:00"/>
    <s v="Réglé"/>
    <d v="2023-05-20T00:00:00"/>
    <d v="2024-01-10T00:00:00"/>
    <s v="DOUNIALI"/>
    <s v="Tamwilcom"/>
    <d v="2024-06-12T00:00:00"/>
    <m/>
    <s v="55498/2023/1"/>
    <s v="8681/2024/PO/DRE/CAC/ND"/>
    <n v="4906438"/>
    <n v="2943862.8"/>
    <n v="490643.80000000005"/>
    <d v="2024-05-09T00:00:00"/>
    <x v="1"/>
    <s v="Echue"/>
    <x v="1"/>
    <x v="1"/>
    <s v="KO"/>
    <x v="1"/>
    <n v="8150931"/>
    <n v="4890558.5999999996"/>
  </r>
  <r>
    <n v="69095649615"/>
    <x v="0"/>
    <n v="20682873885"/>
    <s v="BMCE Bank"/>
    <s v="Centre Affaires Chellah"/>
    <s v="55478/2023/1"/>
    <s v="Mise en place"/>
    <x v="0"/>
    <n v="0.6"/>
    <d v="2023-03-02T00:00:00"/>
    <d v="2024-09-02T00:00:00"/>
    <s v="Pas réglé"/>
    <m/>
    <m/>
    <m/>
    <m/>
    <m/>
    <m/>
    <s v="37781/2023/1"/>
    <s v="1514/2024/PO/DRE/CAC/ND"/>
    <n v="8150931"/>
    <n v="4890558.5999999996"/>
    <n v="815093.10000000009"/>
    <d v="2024-05-04T00:00:00"/>
    <x v="0"/>
    <s v="Valide"/>
    <x v="1"/>
    <x v="1"/>
    <s v="OK"/>
    <x v="1"/>
    <n v="8078270"/>
    <n v="4846962"/>
  </r>
  <r>
    <n v="37131033372"/>
    <x v="0"/>
    <n v="51348101339"/>
    <s v="Ciments du Maroc"/>
    <s v="Centre Affaires Centre Ville"/>
    <s v="25698/2023/1"/>
    <s v="Mise en place"/>
    <x v="1"/>
    <n v="0.7"/>
    <d v="2023-05-16T00:00:00"/>
    <d v="2024-11-16T00:00:00"/>
    <s v="Pas réglé"/>
    <m/>
    <m/>
    <m/>
    <m/>
    <m/>
    <m/>
    <s v="79835/2023/1"/>
    <s v="6201/2024/PO/DRE/CAC/ND"/>
    <n v="8078270"/>
    <n v="4846962"/>
    <n v="807827"/>
    <d v="2024-09-12T00:00:00"/>
    <x v="1"/>
    <s v="Valide"/>
    <x v="1"/>
    <x v="1"/>
    <s v="KO"/>
    <x v="0"/>
    <n v="6253195"/>
    <n v="3751917"/>
  </r>
  <r>
    <n v="26418056025"/>
    <x v="0"/>
    <n v="92157421917"/>
    <s v="Société Générale Maroc"/>
    <s v="Centre Affaires Anfa"/>
    <s v="62591/2023/1"/>
    <s v="Mise en place"/>
    <x v="1"/>
    <n v="0.6"/>
    <d v="2023-08-13T00:00:00"/>
    <d v="2025-02-13T00:00:00"/>
    <s v="Réglé"/>
    <d v="2023-02-05T00:00:00"/>
    <d v="2023-11-02T00:00:00"/>
    <s v="OCTROI"/>
    <s v="Front"/>
    <d v="2024-11-03T00:00:00"/>
    <m/>
    <s v="15137/2023/1"/>
    <s v="5696/2024/PO/DRE/CAC/ND"/>
    <n v="6253195"/>
    <n v="3751917"/>
    <n v="625319.5"/>
    <d v="2024-03-21T00:00:00"/>
    <x v="1"/>
    <s v="Echue"/>
    <x v="1"/>
    <x v="0"/>
    <s v="KO"/>
    <x v="1"/>
    <n v="4977712"/>
    <n v="2986627.1999999997"/>
  </r>
  <r>
    <n v="15815498493"/>
    <x v="0"/>
    <n v="45140727688"/>
    <s v="Société Générale Maroc"/>
    <s v="Centre Affaires Chellah"/>
    <s v="19189/2023/1"/>
    <s v="Mise en place"/>
    <x v="0"/>
    <n v="0.5"/>
    <d v="2023-02-05T00:00:00"/>
    <d v="2024-08-05T00:00:00"/>
    <s v="Réglé"/>
    <d v="2023-05-02T00:00:00"/>
    <d v="2023-10-29T00:00:00"/>
    <s v="DOUNIALI"/>
    <s v="Front"/>
    <d v="2024-05-23T00:00:00"/>
    <m/>
    <s v="69634/2023/1"/>
    <s v="1951/2024/PO/DRE/CAC/ND"/>
    <n v="4977712"/>
    <n v="2986627.1999999997"/>
    <n v="497771.2"/>
    <d v="2024-03-01T00:00:00"/>
    <x v="0"/>
    <s v="Echue"/>
    <x v="1"/>
    <x v="0"/>
    <s v="OK"/>
    <x v="0"/>
    <n v="7119667"/>
    <n v="4271800.2"/>
  </r>
  <r>
    <n v="28521293168"/>
    <x v="0"/>
    <n v="93478033736"/>
    <s v="BMCE Bank"/>
    <s v="Centre Affaires Anfa"/>
    <s v="11970/2023/1"/>
    <s v="Renouvellement"/>
    <x v="1"/>
    <n v="0.6"/>
    <d v="2023-06-22T00:00:00"/>
    <d v="2024-12-22T00:00:00"/>
    <s v="Pas réglé"/>
    <m/>
    <m/>
    <m/>
    <m/>
    <m/>
    <m/>
    <s v="27073/2023/1"/>
    <s v="6212/2024/PO/DRE/CAC/ND"/>
    <n v="7119667"/>
    <n v="4271800.2"/>
    <n v="711966.70000000007"/>
    <d v="2024-05-24T00:00:00"/>
    <x v="1"/>
    <s v="Valide"/>
    <x v="1"/>
    <x v="1"/>
    <s v="KO"/>
    <x v="0"/>
    <n v="2575947"/>
    <n v="1545568.2"/>
  </r>
  <r>
    <n v="90591309031"/>
    <x v="0"/>
    <n v="80039511737"/>
    <s v="Ciments du Maroc"/>
    <s v="Centre Affaires Anfa"/>
    <s v="41892/2023/1"/>
    <s v="Renouvellement"/>
    <x v="1"/>
    <n v="0.6"/>
    <d v="2023-10-26T00:00:00"/>
    <d v="2025-04-26T00:00:00"/>
    <s v="Réglé"/>
    <d v="2023-05-15T00:00:00"/>
    <d v="2024-09-15T00:00:00"/>
    <s v="DOUNIALI"/>
    <s v="Tamwilcom"/>
    <d v="2024-11-29T00:00:00"/>
    <m/>
    <s v="54711/2023/1"/>
    <s v="2857/2024/PO/DRE/CAC/ND"/>
    <n v="2575947"/>
    <n v="1545568.2"/>
    <n v="257594.7"/>
    <d v="2024-06-23T00:00:00"/>
    <x v="1"/>
    <s v="Valide"/>
    <x v="1"/>
    <x v="0"/>
    <s v="KO"/>
    <x v="1"/>
    <n v="8182811"/>
    <n v="4909686.5999999996"/>
  </r>
  <r>
    <n v="95632908285"/>
    <x v="0"/>
    <n v="75332474868"/>
    <s v="Société Générale Maroc"/>
    <s v="Centre Affaires Agdal"/>
    <s v="55313/2023/1"/>
    <s v="Mise en place"/>
    <x v="1"/>
    <n v="0.5"/>
    <d v="2023-02-01T00:00:00"/>
    <d v="2024-08-01T00:00:00"/>
    <s v="Pas réglé"/>
    <m/>
    <m/>
    <m/>
    <m/>
    <m/>
    <m/>
    <s v="82351/2023/1"/>
    <s v="3945/2024/PO/DRE/CAC/ND"/>
    <n v="8182811"/>
    <n v="4909686.5999999996"/>
    <n v="818281.10000000009"/>
    <d v="2024-04-17T00:00:00"/>
    <x v="1"/>
    <s v="Valide"/>
    <x v="1"/>
    <x v="0"/>
    <s v="KO"/>
    <x v="1"/>
    <n v="3362193"/>
    <n v="2017315.7999999998"/>
  </r>
  <r>
    <n v="75786180839"/>
    <x v="0"/>
    <n v="96212330780"/>
    <s v="Managem"/>
    <s v="Centre Affaires Anfa"/>
    <s v="18670/2023/1"/>
    <s v="Renouvellement"/>
    <x v="0"/>
    <n v="0.6"/>
    <d v="2023-06-10T00:00:00"/>
    <d v="2024-12-10T00:00:00"/>
    <s v="Réglé"/>
    <d v="2023-03-18T00:00:00"/>
    <d v="2023-11-22T00:00:00"/>
    <s v="OCTROI"/>
    <s v="Front"/>
    <d v="2024-05-02T00:00:00"/>
    <m/>
    <s v="19157/2023/1"/>
    <s v="1673/2024/PO/DRE/CAC/ND"/>
    <n v="3362193"/>
    <n v="2017315.7999999998"/>
    <n v="336219.30000000005"/>
    <d v="2024-11-09T00:00:00"/>
    <x v="0"/>
    <s v="Echue"/>
    <x v="1"/>
    <x v="1"/>
    <s v="OK"/>
    <x v="0"/>
    <n v="8852328"/>
    <n v="5311396.8"/>
  </r>
  <r>
    <n v="10612911420"/>
    <x v="0"/>
    <n v="68212426013"/>
    <s v="Société Générale Maroc"/>
    <s v="Centre Affaires Chellah"/>
    <s v="78326/2023/1"/>
    <s v="Renouvellement"/>
    <x v="1"/>
    <n v="0.6"/>
    <d v="2023-01-28T00:00:00"/>
    <d v="2024-07-28T00:00:00"/>
    <s v="Pas réglé"/>
    <m/>
    <m/>
    <m/>
    <m/>
    <m/>
    <m/>
    <s v="15534/2023/1"/>
    <s v="6753/2024/PO/DRE/CAC/ND"/>
    <n v="8852328"/>
    <n v="5311396.8"/>
    <n v="885232.8"/>
    <d v="2024-03-11T00:00:00"/>
    <x v="1"/>
    <s v="Valide"/>
    <x v="1"/>
    <x v="0"/>
    <s v="KO"/>
    <x v="1"/>
    <n v="2481595"/>
    <n v="1488957"/>
  </r>
  <r>
    <n v="63334642791"/>
    <x v="0"/>
    <n v="24940005998"/>
    <s v="2M Atlas"/>
    <s v="Centre Affaires Gueliz"/>
    <s v="81497/2023/1"/>
    <s v="Mise en place"/>
    <x v="0"/>
    <n v="0.6"/>
    <d v="2023-08-31T00:00:00"/>
    <d v="2025-02-28T00:00:00"/>
    <s v="Réglé"/>
    <d v="2023-11-05T00:00:00"/>
    <d v="2023-09-18T00:00:00"/>
    <s v="OCTROI"/>
    <s v="Front"/>
    <d v="2024-02-10T00:00:00"/>
    <m/>
    <s v="33659/2023/1"/>
    <s v="1661/2024/PO/DRE/CAC/ND"/>
    <n v="2481595"/>
    <n v="1488957"/>
    <n v="248159.5"/>
    <d v="2024-07-08T00:00:00"/>
    <x v="0"/>
    <s v="Valide"/>
    <x v="1"/>
    <x v="0"/>
    <s v="OK"/>
    <x v="1"/>
    <n v="9393744"/>
    <n v="5636246.3999999994"/>
  </r>
  <r>
    <n v="29545686459"/>
    <x v="0"/>
    <n v="44408277034"/>
    <s v="Ciments du Maroc"/>
    <s v="Centre Affaires Hivernage"/>
    <s v="32965/2023/1"/>
    <s v="Renouvellement"/>
    <x v="1"/>
    <n v="0.6"/>
    <d v="2023-07-01T00:00:00"/>
    <d v="2025-01-01T00:00:00"/>
    <s v="Réglé"/>
    <d v="2023-03-13T00:00:00"/>
    <d v="2024-04-13T00:00:00"/>
    <s v="OCTROI"/>
    <s v="Front"/>
    <d v="2024-10-14T00:00:00"/>
    <m/>
    <s v="15549/2023/1"/>
    <s v="6082/2024/PO/DRE/CAC/ND"/>
    <n v="9393744"/>
    <n v="5636246.3999999994"/>
    <n v="939374.4"/>
    <d v="2024-01-07T00:00:00"/>
    <x v="1"/>
    <s v="Echue"/>
    <x v="1"/>
    <x v="0"/>
    <s v="KO"/>
    <x v="0"/>
    <n v="8354748"/>
    <n v="5012848.8"/>
  </r>
  <r>
    <n v="81045652069"/>
    <x v="0"/>
    <n v="22497665571"/>
    <s v="Maghreb Steel"/>
    <s v="Centre Affaires Hassan"/>
    <s v="24651/2023/1"/>
    <s v="Renouvellement"/>
    <x v="1"/>
    <n v="0.6"/>
    <d v="2023-02-20T00:00:00"/>
    <d v="2024-08-20T00:00:00"/>
    <s v="Pas réglé"/>
    <m/>
    <m/>
    <m/>
    <m/>
    <m/>
    <m/>
    <s v="93146/2023/1"/>
    <s v="3591/2024/PO/DRE/CAC/ND"/>
    <n v="8354748"/>
    <n v="5012848.8"/>
    <n v="835474.8"/>
    <d v="2024-01-08T00:00:00"/>
    <x v="1"/>
    <s v="Valide"/>
    <x v="1"/>
    <x v="1"/>
    <s v="KO"/>
    <x v="1"/>
    <n v="7383769"/>
    <n v="4430261.3999999994"/>
  </r>
  <r>
    <n v="19727211043"/>
    <x v="0"/>
    <n v="68274538765"/>
    <s v="OCP Group"/>
    <s v="Centre Affaires Palmier"/>
    <s v="57557/2023/1"/>
    <s v="Renouvellement"/>
    <x v="0"/>
    <n v="0.6"/>
    <d v="2023-09-11T00:00:00"/>
    <d v="2025-03-11T00:00:00"/>
    <s v="Pas réglé"/>
    <m/>
    <m/>
    <m/>
    <m/>
    <m/>
    <m/>
    <s v="27621/2023/1"/>
    <s v="8660/2024/PO/DRE/CAC/ND"/>
    <n v="7383769"/>
    <n v="4430261.3999999994"/>
    <n v="738376.9"/>
    <d v="2024-11-20T00:00:00"/>
    <x v="0"/>
    <s v="Echue"/>
    <x v="1"/>
    <x v="0"/>
    <s v="OK"/>
    <x v="0"/>
    <n v="5984682"/>
    <n v="3590809.1999999997"/>
  </r>
  <r>
    <n v="86352036800"/>
    <x v="0"/>
    <n v="42423082906"/>
    <s v="Managem"/>
    <s v="Centre Affaires Hassan"/>
    <s v="65318/2023/1"/>
    <s v="Renouvellement"/>
    <x v="1"/>
    <n v="0.6"/>
    <d v="2023-09-29T00:00:00"/>
    <d v="2025-03-29T00:00:00"/>
    <s v="Pas réglé"/>
    <m/>
    <m/>
    <m/>
    <m/>
    <m/>
    <m/>
    <s v="30249/2023/1"/>
    <s v="3442/2024/PO/DRE/CAC/ND"/>
    <n v="5984682"/>
    <n v="3590809.1999999997"/>
    <n v="598468.20000000007"/>
    <d v="2024-02-06T00:00:00"/>
    <x v="1"/>
    <s v="Valide"/>
    <x v="1"/>
    <x v="1"/>
    <s v="KO"/>
    <x v="1"/>
    <n v="1134030"/>
    <n v="680418"/>
  </r>
  <r>
    <n v="10796237035"/>
    <x v="0"/>
    <n v="36341477409"/>
    <s v="Managem"/>
    <s v="Centre Affaires Palmier"/>
    <s v="53669/2023/1"/>
    <s v="Renouvellement"/>
    <x v="0"/>
    <n v="0.6"/>
    <d v="2023-03-06T00:00:00"/>
    <d v="2024-09-06T00:00:00"/>
    <s v="Pas réglé"/>
    <m/>
    <m/>
    <m/>
    <m/>
    <m/>
    <m/>
    <s v="15927/2023/1"/>
    <s v="2504/2024/PO/DRE/CAC/ND"/>
    <n v="1134030"/>
    <n v="680418"/>
    <n v="113403"/>
    <d v="2024-11-26T00:00:00"/>
    <x v="0"/>
    <s v="Echue"/>
    <x v="1"/>
    <x v="1"/>
    <s v="OK"/>
    <x v="1"/>
    <n v="3112016"/>
    <n v="1867209.5999999999"/>
  </r>
  <r>
    <n v="15767057320"/>
    <x v="0"/>
    <n v="57112279103"/>
    <s v="Ciments du Maroc"/>
    <s v="Centre Affaires Centre Ville"/>
    <s v="89469/2023/1"/>
    <s v="Renouvellement"/>
    <x v="0"/>
    <n v="0.6"/>
    <d v="2023-02-15T00:00:00"/>
    <d v="2024-08-15T00:00:00"/>
    <s v="Pas réglé"/>
    <m/>
    <m/>
    <m/>
    <m/>
    <m/>
    <m/>
    <s v="41333/2023/1"/>
    <s v="9944/2024/PO/DRE/CAC/ND"/>
    <n v="3112016"/>
    <n v="1867209.5999999999"/>
    <n v="311201.60000000003"/>
    <d v="2024-03-06T00:00:00"/>
    <x v="0"/>
    <s v="Valide"/>
    <x v="1"/>
    <x v="0"/>
    <s v="OK"/>
    <x v="0"/>
    <n v="9666862"/>
    <n v="5800117.2000000002"/>
  </r>
  <r>
    <n v="35880786426"/>
    <x v="0"/>
    <n v="71154393434"/>
    <s v="Managem"/>
    <s v="Centre Affaires Boughaz"/>
    <s v="85214/2023/1"/>
    <s v="Renouvellement"/>
    <x v="1"/>
    <n v="0.5"/>
    <d v="2023-05-06T00:00:00"/>
    <d v="2024-11-06T00:00:00"/>
    <s v="Pas réglé"/>
    <m/>
    <m/>
    <m/>
    <m/>
    <m/>
    <m/>
    <s v="34507/2023/1"/>
    <s v="5068/2024/PO/DRE/CAC/ND"/>
    <n v="9666862"/>
    <n v="5800117.2000000002"/>
    <n v="966686.20000000007"/>
    <d v="2024-03-10T00:00:00"/>
    <x v="1"/>
    <s v="Echue"/>
    <x v="1"/>
    <x v="1"/>
    <s v="KO"/>
    <x v="1"/>
    <n v="1132002"/>
    <n v="679201.2"/>
  </r>
  <r>
    <n v="92812907731"/>
    <x v="0"/>
    <n v="54205763347"/>
    <s v="2M Atlas"/>
    <s v="Centre Affaires Agdal"/>
    <s v="95185/2023/1"/>
    <s v="Renouvellement"/>
    <x v="0"/>
    <n v="0.6"/>
    <d v="2023-02-24T00:00:00"/>
    <d v="2024-08-24T00:00:00"/>
    <s v="Pas réglé"/>
    <m/>
    <m/>
    <m/>
    <m/>
    <m/>
    <m/>
    <s v="34843/2023/1"/>
    <s v="4524/2024/PO/DRE/CAC/ND"/>
    <n v="1132002"/>
    <n v="679201.2"/>
    <n v="113200.20000000001"/>
    <d v="2024-11-27T00:00:00"/>
    <x v="0"/>
    <s v="Echue"/>
    <x v="1"/>
    <x v="1"/>
    <s v="OK"/>
    <x v="1"/>
    <n v="3995048"/>
    <n v="2397028.7999999998"/>
  </r>
  <r>
    <n v="55343363010"/>
    <x v="0"/>
    <n v="18953132209"/>
    <s v="Maroc Telecom"/>
    <s v="Centre Affaires Palmier"/>
    <s v="27284/2023/1"/>
    <s v="Renouvellement"/>
    <x v="0"/>
    <n v="0.6"/>
    <d v="2023-04-26T00:00:00"/>
    <d v="2024-10-26T00:00:00"/>
    <s v="Réglé"/>
    <d v="2023-11-30T00:00:00"/>
    <d v="2023-05-21T00:00:00"/>
    <s v="OCTROI"/>
    <s v="Tamwilcom"/>
    <d v="2024-12-15T00:00:00"/>
    <m/>
    <s v="73645/2023/1"/>
    <s v="9168/2024/PO/DRE/CAC/ND"/>
    <n v="3995048"/>
    <n v="2397028.7999999998"/>
    <n v="399504.80000000005"/>
    <d v="2024-08-22T00:00:00"/>
    <x v="0"/>
    <s v="Valide"/>
    <x v="1"/>
    <x v="1"/>
    <s v="OK"/>
    <x v="0"/>
    <n v="9930822"/>
    <n v="5958493.2000000002"/>
  </r>
  <r>
    <n v="75316218344"/>
    <x v="0"/>
    <n v="50704390321"/>
    <s v="Maroc Telecom"/>
    <s v="Centre Affaires Palmier"/>
    <s v="94054/2023/1"/>
    <s v="Renouvellement"/>
    <x v="0"/>
    <n v="0.6"/>
    <d v="2023-06-28T00:00:00"/>
    <d v="2024-12-28T00:00:00"/>
    <s v="Pas réglé"/>
    <m/>
    <m/>
    <m/>
    <m/>
    <m/>
    <m/>
    <s v="14517/2023/1"/>
    <s v="2706/2024/PO/DRE/CAC/ND"/>
    <n v="9930822"/>
    <n v="5958493.2000000002"/>
    <n v="993082.20000000007"/>
    <d v="2024-04-01T00:00:00"/>
    <x v="0"/>
    <s v="Echue"/>
    <x v="1"/>
    <x v="0"/>
    <s v="OK"/>
    <x v="1"/>
    <n v="2674383"/>
    <n v="1604629.8"/>
  </r>
  <r>
    <n v="17604781739"/>
    <x v="0"/>
    <n v="80508414583"/>
    <s v="Maghreb Steel"/>
    <s v="Centre Affaires Centre Ville"/>
    <s v="60914/2023/1"/>
    <s v="Renouvellement"/>
    <x v="0"/>
    <n v="0.6"/>
    <d v="2023-12-03T00:00:00"/>
    <d v="2025-06-03T00:00:00"/>
    <s v="Pas réglé"/>
    <m/>
    <m/>
    <m/>
    <m/>
    <m/>
    <m/>
    <s v="59016/2023/1"/>
    <s v="3504/2024/PO/DRE/CAC/ND"/>
    <n v="2674383"/>
    <n v="1604629.8"/>
    <n v="267438.3"/>
    <d v="2024-06-17T00:00:00"/>
    <x v="0"/>
    <s v="Valide"/>
    <x v="1"/>
    <x v="0"/>
    <s v="OK"/>
    <x v="0"/>
    <n v="4184872"/>
    <n v="2510923.1999999997"/>
  </r>
  <r>
    <n v="34143251955"/>
    <x v="0"/>
    <n v="19105258350"/>
    <s v="Maghreb Steel"/>
    <s v="Centre Affaires Hassan"/>
    <s v="24366/2023/1"/>
    <s v="Mise en place"/>
    <x v="0"/>
    <n v="0.7"/>
    <d v="2023-02-06T00:00:00"/>
    <d v="2024-08-06T00:00:00"/>
    <s v="Pas réglé"/>
    <m/>
    <m/>
    <m/>
    <m/>
    <m/>
    <m/>
    <s v="95699/2023/1"/>
    <s v="2170/2024/PO/DRE/CAC/ND"/>
    <n v="4184872"/>
    <n v="2510923.1999999997"/>
    <n v="418487.2"/>
    <d v="2024-02-11T00:00:00"/>
    <x v="0"/>
    <s v="Echue"/>
    <x v="1"/>
    <x v="1"/>
    <s v="OK"/>
    <x v="0"/>
    <n v="4472602"/>
    <n v="2683561.1999999997"/>
  </r>
  <r>
    <n v="84949910854"/>
    <x v="0"/>
    <n v="37947370356"/>
    <s v="Banque Populaire"/>
    <s v="Centre Affaires Boughaz"/>
    <s v="76277/2023/1"/>
    <s v="Mise en place"/>
    <x v="1"/>
    <n v="0.6"/>
    <d v="2023-12-02T00:00:00"/>
    <d v="2025-06-02T00:00:00"/>
    <s v="Réglé"/>
    <d v="2023-06-29T00:00:00"/>
    <d v="2024-02-28T00:00:00"/>
    <s v="OCTROI"/>
    <s v="Front"/>
    <d v="2024-11-20T00:00:00"/>
    <m/>
    <s v="19563/2023/1"/>
    <s v="1525/2024/PO/DRE/CAC/ND"/>
    <n v="4472602"/>
    <n v="2683561.1999999997"/>
    <n v="447260.2"/>
    <d v="2024-04-22T00:00:00"/>
    <x v="1"/>
    <s v="Echue"/>
    <x v="1"/>
    <x v="1"/>
    <s v="KO"/>
    <x v="0"/>
    <n v="4363170"/>
    <n v="2617902"/>
  </r>
  <r>
    <n v="17495285482"/>
    <x v="0"/>
    <n v="52819127385"/>
    <s v="Maroc Telecom"/>
    <s v="Centre Affaires Agdal"/>
    <s v="24392/2023/1"/>
    <s v="Mise en place"/>
    <x v="1"/>
    <n v="0.6"/>
    <d v="2023-03-16T00:00:00"/>
    <d v="2024-09-16T00:00:00"/>
    <s v="Réglé"/>
    <d v="2023-11-22T00:00:00"/>
    <d v="2023-03-23T00:00:00"/>
    <s v="OCTROI"/>
    <s v="Front"/>
    <d v="2024-07-08T00:00:00"/>
    <m/>
    <s v="62252/2023/1"/>
    <s v="6696/2024/PO/DRE/CAC/ND"/>
    <n v="4363170"/>
    <n v="2617902"/>
    <n v="436317"/>
    <d v="2024-04-28T00:00:00"/>
    <x v="1"/>
    <s v="Echue"/>
    <x v="1"/>
    <x v="0"/>
    <s v="KO"/>
    <x v="1"/>
    <n v="6365123"/>
    <n v="3819073.8"/>
  </r>
  <r>
    <n v="65990574830"/>
    <x v="0"/>
    <n v="63767873168"/>
    <s v="Maroc Telecom"/>
    <s v="Centre Affaires Anfa"/>
    <s v="53486/2023/1"/>
    <s v="Mise en place"/>
    <x v="0"/>
    <n v="0.6"/>
    <d v="2023-07-24T00:00:00"/>
    <d v="2025-01-24T00:00:00"/>
    <s v="Pas réglé"/>
    <m/>
    <m/>
    <m/>
    <m/>
    <m/>
    <m/>
    <s v="72364/2023/1"/>
    <s v="5698/2024/PO/DRE/CAC/ND"/>
    <n v="6365123"/>
    <n v="3819073.8"/>
    <n v="636512.30000000005"/>
    <d v="2024-04-27T00:00:00"/>
    <x v="0"/>
    <s v="Echue"/>
    <x v="1"/>
    <x v="0"/>
    <s v="OK"/>
    <x v="1"/>
    <n v="1576572"/>
    <n v="945943.2"/>
  </r>
  <r>
    <n v="79958204768"/>
    <x v="0"/>
    <n v="12804156866"/>
    <s v="OCP Group"/>
    <s v="Centre Affaires Hivernage"/>
    <s v="54343/2023/1"/>
    <s v="Renouvellement"/>
    <x v="1"/>
    <n v="0.7"/>
    <d v="2023-11-24T00:00:00"/>
    <d v="2025-05-24T00:00:00"/>
    <s v="Pas réglé"/>
    <m/>
    <m/>
    <m/>
    <m/>
    <m/>
    <m/>
    <s v="34634/2023/1"/>
    <s v="9079/2024/PO/DRE/CAC/ND"/>
    <n v="1576572"/>
    <n v="945943.2"/>
    <n v="157657.20000000001"/>
    <d v="2024-04-19T00:00:00"/>
    <x v="1"/>
    <s v="Echue"/>
    <x v="1"/>
    <x v="1"/>
    <s v="KO"/>
    <x v="1"/>
    <n v="5569894"/>
    <n v="3341936.4"/>
  </r>
  <r>
    <n v="88255796312"/>
    <x v="0"/>
    <n v="37237789758"/>
    <s v="OCP Group"/>
    <s v="Centre Affaires Hassan"/>
    <s v="33349/2023/1"/>
    <s v="Renouvellement"/>
    <x v="1"/>
    <n v="0.6"/>
    <d v="2023-03-11T00:00:00"/>
    <d v="2024-09-11T00:00:00"/>
    <s v="Réglé"/>
    <d v="2023-01-24T00:00:00"/>
    <d v="2023-04-27T00:00:00"/>
    <s v="OCTROI"/>
    <s v="Front"/>
    <d v="2024-01-09T00:00:00"/>
    <m/>
    <s v="81541/2023/1"/>
    <s v="5262/2024/PO/DRE/CAC/ND"/>
    <n v="5569894"/>
    <n v="3341936.4"/>
    <n v="556989.4"/>
    <d v="2024-02-06T00:00:00"/>
    <x v="1"/>
    <s v="Echue"/>
    <x v="1"/>
    <x v="0"/>
    <s v="KO"/>
    <x v="1"/>
    <n v="6467771"/>
    <n v="3880662.5999999996"/>
  </r>
  <r>
    <n v="67870633160"/>
    <x v="0"/>
    <n v="61178295347"/>
    <s v="Ciments du Maroc"/>
    <s v="Centre Affaires Chellah"/>
    <s v="29942/2023/1"/>
    <s v="Mise en place"/>
    <x v="0"/>
    <n v="0.6"/>
    <d v="2023-03-31T00:00:00"/>
    <d v="2024-09-30T00:00:00"/>
    <s v="Réglé"/>
    <d v="2023-01-12T00:00:00"/>
    <d v="2023-10-09T00:00:00"/>
    <s v="DOUNIALI"/>
    <s v="Front"/>
    <d v="2024-04-12T00:00:00"/>
    <m/>
    <s v="31969/2023/1"/>
    <s v="4074/2024/PO/DRE/CAC/ND"/>
    <n v="6467771"/>
    <n v="3880662.5999999996"/>
    <n v="646777.10000000009"/>
    <d v="2024-08-25T00:00:00"/>
    <x v="0"/>
    <s v="Echue"/>
    <x v="1"/>
    <x v="1"/>
    <s v="OK"/>
    <x v="1"/>
    <n v="1219878"/>
    <n v="731926.79999999993"/>
  </r>
  <r>
    <n v="78497710484"/>
    <x v="0"/>
    <n v="53171400767"/>
    <s v="Ciments du Maroc"/>
    <s v="Centre Affaires Anfa"/>
    <s v="86891/2023/1"/>
    <s v="Mise en place"/>
    <x v="1"/>
    <n v="0.6"/>
    <d v="2023-11-27T00:00:00"/>
    <d v="2025-05-27T00:00:00"/>
    <s v="Pas réglé"/>
    <m/>
    <m/>
    <m/>
    <m/>
    <m/>
    <m/>
    <s v="73870/2023/1"/>
    <s v="3773/2024/PO/DRE/CAC/ND"/>
    <n v="1219878"/>
    <n v="731926.79999999993"/>
    <n v="121987.8"/>
    <d v="2024-10-05T00:00:00"/>
    <x v="1"/>
    <s v="Echue"/>
    <x v="1"/>
    <x v="0"/>
    <s v="KO"/>
    <x v="1"/>
    <n v="9295812"/>
    <n v="5577487.2000000002"/>
  </r>
  <r>
    <n v="13660907073"/>
    <x v="0"/>
    <n v="94815340114"/>
    <s v="2M Atlas"/>
    <s v="Centre Affaires Gueliz"/>
    <s v="77429/2023/1"/>
    <s v="Mise en place"/>
    <x v="1"/>
    <n v="0.6"/>
    <d v="2023-05-11T00:00:00"/>
    <d v="2024-11-11T00:00:00"/>
    <s v="Réglé"/>
    <d v="2023-04-21T00:00:00"/>
    <d v="2023-11-18T00:00:00"/>
    <s v="OCTROI"/>
    <s v="Front"/>
    <d v="2024-02-26T00:00:00"/>
    <m/>
    <s v="46782/2023/1"/>
    <s v="9952/2024/PO/DRE/CAC/ND"/>
    <n v="9295812"/>
    <n v="5577487.2000000002"/>
    <n v="929581.20000000007"/>
    <d v="2024-04-30T00:00:00"/>
    <x v="1"/>
    <s v="Valide"/>
    <x v="1"/>
    <x v="1"/>
    <s v="KO"/>
    <x v="0"/>
    <n v="3140120"/>
    <n v="1884072"/>
  </r>
  <r>
    <n v="91965057755"/>
    <x v="0"/>
    <n v="23936060360"/>
    <s v="2M Atlas"/>
    <s v="Centre Affaires Hassan"/>
    <s v="53757/2023/1"/>
    <s v="Mise en place"/>
    <x v="1"/>
    <n v="0.6"/>
    <d v="2023-02-06T00:00:00"/>
    <d v="2024-08-06T00:00:00"/>
    <s v="Réglé"/>
    <d v="2023-12-15T00:00:00"/>
    <d v="2023-05-20T00:00:00"/>
    <s v="DOUNIALI"/>
    <s v="Front"/>
    <d v="2024-01-04T00:00:00"/>
    <m/>
    <s v="10870/2023/1"/>
    <s v="7211/2024/PO/DRE/CAC/ND"/>
    <n v="3140120"/>
    <n v="1884072"/>
    <n v="314012"/>
    <d v="2024-09-01T00:00:00"/>
    <x v="1"/>
    <s v="Echue"/>
    <x v="1"/>
    <x v="0"/>
    <s v="KO"/>
    <x v="1"/>
    <n v="2405986"/>
    <n v="1443591.5999999999"/>
  </r>
  <r>
    <n v="23651650271"/>
    <x v="0"/>
    <n v="59042048931"/>
    <s v="Maghreb Steel"/>
    <s v="Centre Affaires Boughaz"/>
    <s v="89232/2023/1"/>
    <s v="Mise en place"/>
    <x v="0"/>
    <n v="0.6"/>
    <d v="2023-11-23T00:00:00"/>
    <d v="2025-05-23T00:00:00"/>
    <s v="Réglé"/>
    <d v="2023-01-05T00:00:00"/>
    <d v="2023-12-01T00:00:00"/>
    <s v="DOUNIALI"/>
    <s v="Tamwilcom"/>
    <d v="2024-04-23T00:00:00"/>
    <m/>
    <s v="96485/2023/1"/>
    <s v="1676/2024/PO/DRE/CAC/ND"/>
    <n v="2405986"/>
    <n v="1443591.5999999999"/>
    <n v="240598.6"/>
    <d v="2024-07-21T00:00:00"/>
    <x v="0"/>
    <s v="Echue"/>
    <x v="1"/>
    <x v="1"/>
    <s v="OK"/>
    <x v="1"/>
    <n v="3831256"/>
    <n v="2298753.6"/>
  </r>
  <r>
    <n v="65402798600"/>
    <x v="0"/>
    <n v="36277119615"/>
    <s v="2M Atlas"/>
    <s v="Centre Affaires Hivernage"/>
    <s v="75707/2023/1"/>
    <s v="Renouvellement"/>
    <x v="1"/>
    <n v="0.6"/>
    <d v="2023-07-27T00:00:00"/>
    <d v="2025-01-27T00:00:00"/>
    <s v="Pas réglé"/>
    <m/>
    <m/>
    <m/>
    <m/>
    <m/>
    <m/>
    <s v="12158/2023/1"/>
    <s v="5179/2024/PO/DRE/CAC/ND"/>
    <n v="3831256"/>
    <n v="2298753.6"/>
    <n v="383125.60000000003"/>
    <d v="2024-05-08T00:00:00"/>
    <x v="1"/>
    <s v="Valide"/>
    <x v="1"/>
    <x v="1"/>
    <s v="KO"/>
    <x v="0"/>
    <n v="5724845"/>
    <n v="3434907"/>
  </r>
  <r>
    <n v="66645819344"/>
    <x v="0"/>
    <n v="70977704120"/>
    <s v="2M Atlas"/>
    <s v="Centre Affaires Gueliz"/>
    <s v="75618/2023/1"/>
    <s v="Renouvellement"/>
    <x v="0"/>
    <n v="0.6"/>
    <d v="2023-05-30T00:00:00"/>
    <d v="2024-11-30T00:00:00"/>
    <s v="Pas réglé"/>
    <m/>
    <m/>
    <m/>
    <m/>
    <m/>
    <m/>
    <s v="14291/2023/1"/>
    <s v="8639/2024/PO/DRE/CAC/ND"/>
    <n v="5724845"/>
    <n v="3434907"/>
    <n v="572484.5"/>
    <d v="2024-05-16T00:00:00"/>
    <x v="0"/>
    <s v="Valide"/>
    <x v="1"/>
    <x v="1"/>
    <s v="OK"/>
    <x v="0"/>
    <n v="8664372"/>
    <n v="5198623.2"/>
  </r>
  <r>
    <n v="17880150819"/>
    <x v="0"/>
    <n v="41403139827"/>
    <s v="2M Atlas"/>
    <s v="Centre Affaires Centre Ville"/>
    <s v="17959/2023/1"/>
    <s v="Renouvellement"/>
    <x v="1"/>
    <n v="0.6"/>
    <d v="2023-06-08T00:00:00"/>
    <d v="2024-12-08T00:00:00"/>
    <s v="Réglé"/>
    <d v="2023-08-05T00:00:00"/>
    <d v="2024-01-09T00:00:00"/>
    <s v="OCTROI"/>
    <s v="Front"/>
    <d v="2024-08-14T00:00:00"/>
    <m/>
    <s v="67480/2023/1"/>
    <s v="7062/2024/PO/DRE/CAC/ND"/>
    <n v="8664372"/>
    <n v="5198623.2"/>
    <n v="866437.20000000007"/>
    <d v="2024-09-04T00:00:00"/>
    <x v="1"/>
    <s v="Valide"/>
    <x v="1"/>
    <x v="1"/>
    <s v="KO"/>
    <x v="0"/>
    <n v="3147106"/>
    <n v="1888263.5999999999"/>
  </r>
  <r>
    <n v="71705974179"/>
    <x v="0"/>
    <n v="41094747903"/>
    <s v="Société Générale Maroc"/>
    <s v="Centre Affaires Hassan"/>
    <s v="71249/2023/1"/>
    <s v="Mise en place"/>
    <x v="0"/>
    <n v="0.6"/>
    <d v="2023-01-07T00:00:00"/>
    <d v="2024-07-07T00:00:00"/>
    <s v="Réglé"/>
    <d v="2023-07-11T00:00:00"/>
    <d v="2023-04-09T00:00:00"/>
    <s v="DOUNIALI"/>
    <s v="Front"/>
    <d v="2024-11-22T00:00:00"/>
    <m/>
    <s v="71362/2023/1"/>
    <s v="8967/2024/PO/DRE/CAC/ND"/>
    <n v="3147106"/>
    <n v="1888263.5999999999"/>
    <n v="314710.60000000003"/>
    <d v="2024-08-28T00:00:00"/>
    <x v="0"/>
    <s v="Echue"/>
    <x v="1"/>
    <x v="0"/>
    <s v="OK"/>
    <x v="1"/>
    <n v="7094791"/>
    <n v="4256874.5999999996"/>
  </r>
  <r>
    <n v="36286582587"/>
    <x v="0"/>
    <n v="90561411640"/>
    <s v="2M Atlas"/>
    <s v="Centre Affaires Hassan"/>
    <s v="95529/2023/1"/>
    <s v="Mise en place"/>
    <x v="0"/>
    <n v="0.6"/>
    <d v="2023-12-04T00:00:00"/>
    <d v="2025-06-04T00:00:00"/>
    <s v="Pas réglé"/>
    <m/>
    <m/>
    <m/>
    <m/>
    <m/>
    <m/>
    <s v="75289/2023/1"/>
    <s v="5744/2024/PO/DRE/CAC/ND"/>
    <n v="7094791"/>
    <n v="4256874.5999999996"/>
    <n v="709479.10000000009"/>
    <d v="2024-04-07T00:00:00"/>
    <x v="0"/>
    <s v="Valide"/>
    <x v="1"/>
    <x v="0"/>
    <s v="OK"/>
    <x v="0"/>
    <n v="3344274"/>
    <n v="2006564.4"/>
  </r>
  <r>
    <n v="54071528400"/>
    <x v="0"/>
    <n v="45578714641"/>
    <s v="Cosumar"/>
    <s v="Centre Affaires Centre Ville"/>
    <s v="57877/2023/1"/>
    <s v="Mise en place"/>
    <x v="0"/>
    <n v="0.7"/>
    <d v="2023-06-22T00:00:00"/>
    <d v="2024-12-22T00:00:00"/>
    <s v="Pas réglé"/>
    <m/>
    <m/>
    <m/>
    <m/>
    <m/>
    <m/>
    <s v="94915/2023/1"/>
    <s v="9197/2024/PO/DRE/CAC/ND"/>
    <n v="3344274"/>
    <n v="2006564.4"/>
    <n v="334427.40000000002"/>
    <d v="2024-08-21T00:00:00"/>
    <x v="0"/>
    <s v="Echue"/>
    <x v="1"/>
    <x v="1"/>
    <s v="OK"/>
    <x v="0"/>
    <n v="3255324"/>
    <n v="1953194.4"/>
  </r>
  <r>
    <n v="46854361639"/>
    <x v="0"/>
    <n v="75617376978"/>
    <s v="BMCE Bank"/>
    <s v="Centre Affaires Hassan"/>
    <s v="24264/2023/1"/>
    <s v="Mise en place"/>
    <x v="1"/>
    <n v="0.7"/>
    <d v="2023-02-22T00:00:00"/>
    <d v="2024-08-22T00:00:00"/>
    <s v="Pas réglé"/>
    <m/>
    <m/>
    <m/>
    <m/>
    <m/>
    <m/>
    <s v="78983/2023/1"/>
    <s v="1712/2024/PO/DRE/CAC/ND"/>
    <n v="3255324"/>
    <n v="1953194.4"/>
    <n v="325532.40000000002"/>
    <d v="2024-12-29T00:00:00"/>
    <x v="1"/>
    <s v="Valide"/>
    <x v="1"/>
    <x v="1"/>
    <s v="KO"/>
    <x v="0"/>
    <n v="2968618"/>
    <n v="1781170.8"/>
  </r>
  <r>
    <n v="79321983478"/>
    <x v="0"/>
    <n v="71758415177"/>
    <s v="Banque Populaire"/>
    <s v="Centre Affaires Agdal"/>
    <s v="99048/2023/1"/>
    <s v="Renouvellement"/>
    <x v="0"/>
    <n v="0.6"/>
    <d v="2023-03-18T00:00:00"/>
    <d v="2024-09-18T00:00:00"/>
    <s v="Pas réglé"/>
    <m/>
    <m/>
    <m/>
    <m/>
    <m/>
    <m/>
    <s v="52614/2023/1"/>
    <s v="5648/2024/PO/DRE/CAC/ND"/>
    <n v="2968618"/>
    <n v="1781170.8"/>
    <n v="296861.8"/>
    <d v="2024-06-05T00:00:00"/>
    <x v="0"/>
    <s v="Echue"/>
    <x v="1"/>
    <x v="1"/>
    <s v="OK"/>
    <x v="1"/>
    <n v="5256007"/>
    <n v="3153604.1999999997"/>
  </r>
  <r>
    <n v="67860317650"/>
    <x v="0"/>
    <n v="89442513987"/>
    <s v="2M Atlas"/>
    <s v="Centre Affaires Agdal"/>
    <s v="11861/2023/1"/>
    <s v="Mise en place"/>
    <x v="1"/>
    <n v="0.6"/>
    <d v="2023-03-20T00:00:00"/>
    <d v="2024-09-20T00:00:00"/>
    <s v="Pas réglé"/>
    <m/>
    <m/>
    <m/>
    <m/>
    <m/>
    <m/>
    <s v="35505/2023/1"/>
    <s v="1169/2024/PO/DRE/CAC/ND"/>
    <n v="5256007"/>
    <n v="3153604.1999999997"/>
    <n v="525600.70000000007"/>
    <d v="2024-10-10T00:00:00"/>
    <x v="1"/>
    <s v="Echue"/>
    <x v="1"/>
    <x v="0"/>
    <s v="KO"/>
    <x v="0"/>
    <n v="1429498"/>
    <n v="857698.79999999993"/>
  </r>
  <r>
    <n v="83860841803"/>
    <x v="0"/>
    <n v="36741722297"/>
    <s v="Maghreb Steel"/>
    <s v="Centre Affaires Centre Ville"/>
    <s v="98710/2023/1"/>
    <s v="Renouvellement"/>
    <x v="0"/>
    <n v="0.6"/>
    <d v="2023-12-24T00:00:00"/>
    <d v="2025-06-24T00:00:00"/>
    <s v="Pas réglé"/>
    <m/>
    <m/>
    <m/>
    <m/>
    <m/>
    <m/>
    <s v="45325/2023/1"/>
    <s v="4893/2024/PO/DRE/CAC/ND"/>
    <n v="1429498"/>
    <n v="857698.79999999993"/>
    <n v="142949.80000000002"/>
    <d v="2024-03-27T00:00:00"/>
    <x v="0"/>
    <s v="Echue"/>
    <x v="1"/>
    <x v="0"/>
    <s v="OK"/>
    <x v="0"/>
    <n v="5410634"/>
    <n v="3246380.4"/>
  </r>
  <r>
    <n v="70723071738"/>
    <x v="0"/>
    <n v="25104890872"/>
    <s v="Managem"/>
    <s v="Centre Affaires Anfa"/>
    <s v="44210/2023/1"/>
    <s v="Renouvellement"/>
    <x v="0"/>
    <n v="0.6"/>
    <d v="2023-06-15T00:00:00"/>
    <d v="2024-12-15T00:00:00"/>
    <s v="Réglé"/>
    <d v="2023-11-03T00:00:00"/>
    <d v="2023-10-03T00:00:00"/>
    <s v="DOUNIALI"/>
    <s v="Front"/>
    <d v="2024-02-28T00:00:00"/>
    <m/>
    <s v="81837/2023/1"/>
    <s v="8606/2024/PO/DRE/CAC/ND"/>
    <n v="5410634"/>
    <n v="3246380.4"/>
    <n v="541063.4"/>
    <d v="2024-05-17T00:00:00"/>
    <x v="0"/>
    <s v="Echue"/>
    <x v="1"/>
    <x v="0"/>
    <s v="OK"/>
    <x v="0"/>
    <n v="9390289"/>
    <n v="5634173.3999999994"/>
  </r>
  <r>
    <n v="38642081553"/>
    <x v="0"/>
    <n v="80145661817"/>
    <s v="Banque Populaire"/>
    <s v="Centre Affaires Centre Ville"/>
    <s v="65264/2023/1"/>
    <s v="Mise en place"/>
    <x v="1"/>
    <n v="0.6"/>
    <d v="2023-04-13T00:00:00"/>
    <d v="2024-10-13T00:00:00"/>
    <s v="Pas réglé"/>
    <m/>
    <m/>
    <m/>
    <m/>
    <m/>
    <m/>
    <s v="24512/2023/1"/>
    <s v="9371/2024/PO/DRE/CAC/ND"/>
    <n v="9390289"/>
    <n v="5634173.3999999994"/>
    <n v="939028.9"/>
    <d v="2024-06-03T00:00:00"/>
    <x v="1"/>
    <s v="Echue"/>
    <x v="1"/>
    <x v="0"/>
    <s v="KO"/>
    <x v="0"/>
    <n v="6921565"/>
    <n v="4152939"/>
  </r>
  <r>
    <n v="61939387669"/>
    <x v="0"/>
    <n v="32912319874"/>
    <s v="BMCE Bank"/>
    <s v="Centre Affaires Hivernage"/>
    <s v="50502/2023/1"/>
    <s v="Mise en place"/>
    <x v="1"/>
    <n v="0.6"/>
    <d v="2023-10-08T00:00:00"/>
    <d v="2025-04-08T00:00:00"/>
    <s v="Pas réglé"/>
    <m/>
    <m/>
    <m/>
    <m/>
    <m/>
    <m/>
    <s v="61863/2023/1"/>
    <s v="5269/2024/PO/DRE/CAC/ND"/>
    <n v="6921565"/>
    <n v="4152939"/>
    <n v="692156.5"/>
    <d v="2024-11-21T00:00:00"/>
    <x v="1"/>
    <s v="Echue"/>
    <x v="1"/>
    <x v="0"/>
    <s v="KO"/>
    <x v="0"/>
    <n v="2523860"/>
    <n v="1514316"/>
  </r>
  <r>
    <n v="50395812437"/>
    <x v="0"/>
    <n v="66055044883"/>
    <s v="Managem"/>
    <s v="Centre Affaires Hassan"/>
    <s v="18728/2023/1"/>
    <s v="Mise en place"/>
    <x v="0"/>
    <n v="0.6"/>
    <d v="2023-08-27T00:00:00"/>
    <d v="2025-02-27T00:00:00"/>
    <s v="Réglé"/>
    <d v="2023-10-20T00:00:00"/>
    <d v="2023-10-03T00:00:00"/>
    <s v="OCTROI"/>
    <s v="Tamwilcom"/>
    <d v="2024-09-05T00:00:00"/>
    <m/>
    <s v="20083/2023/1"/>
    <s v="4036/2024/PO/DRE/CAC/ND"/>
    <n v="2523860"/>
    <n v="1514316"/>
    <n v="252386"/>
    <d v="2024-04-15T00:00:00"/>
    <x v="0"/>
    <s v="Valide"/>
    <x v="1"/>
    <x v="1"/>
    <s v="OK"/>
    <x v="0"/>
    <n v="4330268"/>
    <n v="2598160.7999999998"/>
  </r>
  <r>
    <n v="38964319571"/>
    <x v="0"/>
    <n v="98191688656"/>
    <s v="BMCE Bank"/>
    <s v="Centre Affaires Chellah"/>
    <s v="88042/2023/1"/>
    <s v="Renouvellement"/>
    <x v="1"/>
    <n v="0.6"/>
    <d v="2023-12-01T00:00:00"/>
    <d v="2025-06-01T00:00:00"/>
    <s v="Réglé"/>
    <d v="2023-10-15T00:00:00"/>
    <d v="2023-12-12T00:00:00"/>
    <s v="DOUNIALI"/>
    <s v="Front"/>
    <d v="2024-02-15T00:00:00"/>
    <m/>
    <s v="90912/2023/1"/>
    <s v="2211/2024/PO/DRE/CAC/ND"/>
    <n v="4330268"/>
    <n v="2598160.7999999998"/>
    <n v="433026.80000000005"/>
    <d v="2024-05-06T00:00:00"/>
    <x v="1"/>
    <s v="Valide"/>
    <x v="1"/>
    <x v="0"/>
    <s v="KO"/>
    <x v="0"/>
    <n v="5611024"/>
    <n v="3366614.4"/>
  </r>
  <r>
    <n v="99137874472"/>
    <x v="0"/>
    <n v="39055830149"/>
    <s v="Cosumar"/>
    <s v="Centre Affaires Maarif"/>
    <s v="30356/2023/1"/>
    <s v="Mise en place"/>
    <x v="0"/>
    <n v="0.6"/>
    <d v="2023-11-27T00:00:00"/>
    <d v="2025-05-27T00:00:00"/>
    <s v="Réglé"/>
    <d v="2023-11-16T00:00:00"/>
    <d v="2024-01-03T00:00:00"/>
    <s v="OCTROI"/>
    <s v="Front"/>
    <d v="2024-03-12T00:00:00"/>
    <m/>
    <s v="58468/2023/1"/>
    <s v="2848/2024/PO/DRE/CAC/ND"/>
    <n v="5611024"/>
    <n v="3366614.4"/>
    <n v="561102.4"/>
    <d v="2024-04-07T00:00:00"/>
    <x v="0"/>
    <s v="Echue"/>
    <x v="1"/>
    <x v="1"/>
    <s v="OK"/>
    <x v="0"/>
    <n v="6345944"/>
    <n v="3807566.4"/>
  </r>
  <r>
    <n v="22899084386"/>
    <x v="0"/>
    <n v="20881957576"/>
    <s v="Maroc Telecom"/>
    <s v="Centre Affaires Centre Ville"/>
    <s v="65917/2023/1"/>
    <s v="Mise en place"/>
    <x v="0"/>
    <n v="0.6"/>
    <d v="2023-04-15T00:00:00"/>
    <d v="2024-10-15T00:00:00"/>
    <s v="Pas réglé"/>
    <m/>
    <m/>
    <m/>
    <m/>
    <m/>
    <m/>
    <s v="68365/2023/1"/>
    <s v="3435/2024/PO/DRE/CAC/ND"/>
    <n v="6345944"/>
    <n v="3807566.4"/>
    <n v="634594.4"/>
    <d v="2024-05-31T00:00:00"/>
    <x v="0"/>
    <s v="Echue"/>
    <x v="1"/>
    <x v="0"/>
    <s v="OK"/>
    <x v="1"/>
    <n v="3293219"/>
    <n v="1975931.4"/>
  </r>
  <r>
    <n v="54346438745"/>
    <x v="0"/>
    <n v="91612484409"/>
    <s v="Banque Populaire"/>
    <s v="Centre Affaires Hassan"/>
    <s v="11962/2023/1"/>
    <s v="Mise en place"/>
    <x v="1"/>
    <n v="0.6"/>
    <d v="2023-11-24T00:00:00"/>
    <d v="2025-05-24T00:00:00"/>
    <s v="Pas réglé"/>
    <m/>
    <m/>
    <m/>
    <m/>
    <m/>
    <m/>
    <s v="21854/2023/1"/>
    <s v="4836/2024/PO/DRE/CAC/ND"/>
    <n v="3293219"/>
    <n v="1975931.4"/>
    <n v="329321.90000000002"/>
    <d v="2024-11-13T00:00:00"/>
    <x v="1"/>
    <s v="Echue"/>
    <x v="1"/>
    <x v="1"/>
    <s v="KO"/>
    <x v="1"/>
    <n v="8108758"/>
    <n v="4865254.8"/>
  </r>
  <r>
    <n v="44875852698"/>
    <x v="0"/>
    <n v="13799388703"/>
    <s v="BMCE Bank"/>
    <s v="Centre Affaires Hassan"/>
    <s v="55309/2023/1"/>
    <s v="Mise en place"/>
    <x v="1"/>
    <n v="0.6"/>
    <d v="2023-02-13T00:00:00"/>
    <d v="2024-08-13T00:00:00"/>
    <s v="Pas réglé"/>
    <m/>
    <m/>
    <m/>
    <m/>
    <m/>
    <m/>
    <s v="63300/2023/1"/>
    <s v="5432/2024/PO/DRE/CAC/ND"/>
    <n v="8108758"/>
    <n v="4865254.8"/>
    <n v="810875.8"/>
    <d v="2024-09-01T00:00:00"/>
    <x v="1"/>
    <s v="Echue"/>
    <x v="1"/>
    <x v="1"/>
    <s v="KO"/>
    <x v="0"/>
    <n v="6514901"/>
    <n v="3908940.5999999996"/>
  </r>
  <r>
    <n v="35436698629"/>
    <x v="0"/>
    <n v="57700681666"/>
    <s v="Ciments du Maroc"/>
    <s v="Centre Affaires Hassan"/>
    <s v="18268/2023/1"/>
    <s v="Mise en place"/>
    <x v="0"/>
    <n v="0.6"/>
    <d v="2023-02-20T00:00:00"/>
    <d v="2024-08-20T00:00:00"/>
    <s v="Réglé"/>
    <d v="2023-03-01T00:00:00"/>
    <d v="2023-10-29T00:00:00"/>
    <s v="DOUNIALI"/>
    <s v="Front"/>
    <d v="2024-10-29T00:00:00"/>
    <m/>
    <s v="98957/2023/1"/>
    <s v="5847/2024/PO/DRE/CAC/ND"/>
    <n v="6514901"/>
    <n v="3908940.5999999996"/>
    <n v="651490.10000000009"/>
    <d v="2024-05-23T00:00:00"/>
    <x v="0"/>
    <s v="Echue"/>
    <x v="1"/>
    <x v="1"/>
    <s v="OK"/>
    <x v="0"/>
    <n v="6678694"/>
    <n v="4007216.4"/>
  </r>
  <r>
    <n v="55558103073"/>
    <x v="0"/>
    <n v="10238988247"/>
    <s v="OCP Group"/>
    <s v="Centre Affaires Centre Ville"/>
    <s v="74211/2023/1"/>
    <s v="Mise en place"/>
    <x v="1"/>
    <n v="0.6"/>
    <d v="2023-09-09T00:00:00"/>
    <d v="2025-03-09T00:00:00"/>
    <s v="Pas réglé"/>
    <m/>
    <m/>
    <m/>
    <m/>
    <m/>
    <m/>
    <s v="20609/2023/1"/>
    <s v="6108/2024/PO/DRE/CAC/ND"/>
    <n v="6678694"/>
    <n v="4007216.4"/>
    <n v="667869.4"/>
    <d v="2024-11-20T00:00:00"/>
    <x v="1"/>
    <s v="Echue"/>
    <x v="1"/>
    <x v="1"/>
    <s v="KO"/>
    <x v="0"/>
    <n v="3694915"/>
    <n v="2216949"/>
  </r>
  <r>
    <n v="18397969647"/>
    <x v="0"/>
    <n v="90051714729"/>
    <s v="Société Générale Maroc"/>
    <s v="Centre Affaires Boughaz"/>
    <s v="74754/2023/1"/>
    <s v="Renouvellement"/>
    <x v="1"/>
    <n v="0.6"/>
    <d v="2023-11-22T00:00:00"/>
    <d v="2025-05-22T00:00:00"/>
    <s v="Réglé"/>
    <d v="2023-06-07T00:00:00"/>
    <d v="2024-09-02T00:00:00"/>
    <s v="DOUNIALI"/>
    <s v="Tamwilcom"/>
    <d v="2024-05-06T00:00:00"/>
    <m/>
    <s v="49435/2023/1"/>
    <s v="8190/2024/PO/DRE/CAC/ND"/>
    <n v="3694915"/>
    <n v="2216949"/>
    <n v="369491.5"/>
    <d v="2024-06-17T00:00:00"/>
    <x v="1"/>
    <s v="Echue"/>
    <x v="1"/>
    <x v="1"/>
    <s v="KO"/>
    <x v="1"/>
    <n v="9557417"/>
    <n v="5734450.2000000002"/>
  </r>
  <r>
    <n v="45661873827"/>
    <x v="0"/>
    <n v="81466260160"/>
    <s v="BMCE Bank"/>
    <s v="Centre Affaires Chellah"/>
    <s v="40412/2023/1"/>
    <s v="Renouvellement"/>
    <x v="0"/>
    <n v="0.6"/>
    <d v="2023-09-10T00:00:00"/>
    <d v="2025-03-10T00:00:00"/>
    <s v="Pas réglé"/>
    <m/>
    <m/>
    <m/>
    <m/>
    <m/>
    <m/>
    <s v="27092/2023/1"/>
    <s v="1951/2024/PO/DRE/CAC/ND"/>
    <n v="9557417"/>
    <n v="5734450.2000000002"/>
    <n v="955741.70000000007"/>
    <d v="2024-08-04T00:00:00"/>
    <x v="0"/>
    <s v="Echue"/>
    <x v="1"/>
    <x v="0"/>
    <s v="OK"/>
    <x v="1"/>
    <n v="7478520"/>
    <n v="4487112"/>
  </r>
  <r>
    <n v="42006891299"/>
    <x v="0"/>
    <n v="99879492567"/>
    <s v="Managem"/>
    <s v="Centre Affaires Maarif"/>
    <s v="48554/2023/1"/>
    <s v="Renouvellement"/>
    <x v="0"/>
    <n v="0.6"/>
    <d v="2023-03-25T00:00:00"/>
    <d v="2024-09-25T00:00:00"/>
    <s v="Pas réglé"/>
    <m/>
    <m/>
    <m/>
    <m/>
    <m/>
    <m/>
    <s v="95154/2023/1"/>
    <s v="8191/2024/PO/DRE/CAC/ND"/>
    <n v="7478520"/>
    <n v="4487112"/>
    <n v="747852"/>
    <d v="2024-08-17T00:00:00"/>
    <x v="0"/>
    <s v="Valide"/>
    <x v="1"/>
    <x v="0"/>
    <s v="OK"/>
    <x v="0"/>
    <n v="7857568"/>
    <n v="4714540.8"/>
  </r>
  <r>
    <n v="58747354868"/>
    <x v="0"/>
    <n v="94125157139"/>
    <s v="Maghreb Steel"/>
    <s v="Centre Affaires Hivernage"/>
    <s v="18332/2023/1"/>
    <s v="Renouvellement"/>
    <x v="1"/>
    <n v="0.6"/>
    <d v="2023-05-25T00:00:00"/>
    <d v="2024-11-25T00:00:00"/>
    <s v="Pas réglé"/>
    <m/>
    <m/>
    <m/>
    <m/>
    <m/>
    <m/>
    <s v="97336/2023/1"/>
    <s v="4445/2024/PO/DRE/CAC/ND"/>
    <n v="7857568"/>
    <n v="4714540.8"/>
    <n v="785756.8"/>
    <d v="2024-10-20T00:00:00"/>
    <x v="1"/>
    <s v="Valide"/>
    <x v="1"/>
    <x v="1"/>
    <s v="KO"/>
    <x v="0"/>
    <n v="1605178"/>
    <n v="963106.79999999993"/>
  </r>
  <r>
    <n v="35879110809"/>
    <x v="0"/>
    <n v="71558028948"/>
    <s v="Maghreb Steel"/>
    <s v="Centre Affaires Anfa"/>
    <s v="56816/2023/1"/>
    <s v="Mise en place"/>
    <x v="1"/>
    <n v="0.6"/>
    <d v="2023-11-20T00:00:00"/>
    <d v="2025-05-20T00:00:00"/>
    <s v="Pas réglé"/>
    <m/>
    <m/>
    <m/>
    <m/>
    <m/>
    <m/>
    <s v="69589/2023/1"/>
    <s v="7207/2024/PO/DRE/CAC/ND"/>
    <n v="1605178"/>
    <n v="963106.79999999993"/>
    <n v="160517.80000000002"/>
    <d v="2024-10-06T00:00:00"/>
    <x v="1"/>
    <s v="Echue"/>
    <x v="1"/>
    <x v="1"/>
    <s v="KO"/>
    <x v="1"/>
    <n v="7797005"/>
    <n v="4678203"/>
  </r>
  <r>
    <n v="67340439586"/>
    <x v="0"/>
    <n v="25204383275"/>
    <s v="OCP Group"/>
    <s v="Centre Affaires Gueliz"/>
    <s v="94833/2023/1"/>
    <s v="Renouvellement"/>
    <x v="0"/>
    <n v="0.7"/>
    <d v="2023-08-23T00:00:00"/>
    <d v="2025-02-23T00:00:00"/>
    <s v="Réglé"/>
    <d v="2023-03-12T00:00:00"/>
    <d v="2024-03-14T00:00:00"/>
    <s v="OCTROI"/>
    <s v="Front"/>
    <d v="2024-10-11T00:00:00"/>
    <m/>
    <s v="85496/2023/1"/>
    <s v="1888/2024/PO/DRE/CAC/ND"/>
    <n v="7797005"/>
    <n v="4678203"/>
    <n v="779700.5"/>
    <d v="2024-12-26T00:00:00"/>
    <x v="0"/>
    <s v="Valide"/>
    <x v="1"/>
    <x v="0"/>
    <s v="OK"/>
    <x v="0"/>
    <n v="1836548"/>
    <n v="1101928.8"/>
  </r>
  <r>
    <n v="28548197657"/>
    <x v="0"/>
    <n v="22055018985"/>
    <s v="Maghreb Steel"/>
    <s v="Centre Affaires Maarif"/>
    <s v="65008/2023/1"/>
    <s v="Mise en place"/>
    <x v="1"/>
    <n v="0.6"/>
    <d v="2023-11-26T00:00:00"/>
    <d v="2025-05-26T00:00:00"/>
    <s v="Réglé"/>
    <d v="2023-03-16T00:00:00"/>
    <d v="2024-11-18T00:00:00"/>
    <s v="DOUNIALI"/>
    <s v="Tamwilcom"/>
    <d v="2024-04-12T00:00:00"/>
    <m/>
    <s v="25917/2023/1"/>
    <s v="2527/2024/PO/DRE/CAC/ND"/>
    <n v="1836548"/>
    <n v="1101928.8"/>
    <n v="183654.80000000002"/>
    <d v="2024-11-30T00:00:00"/>
    <x v="1"/>
    <s v="Valide"/>
    <x v="1"/>
    <x v="1"/>
    <s v="KO"/>
    <x v="0"/>
    <n v="2248275"/>
    <n v="1348965"/>
  </r>
  <r>
    <n v="80991126385"/>
    <x v="0"/>
    <n v="12535798815"/>
    <s v="2M Atlas"/>
    <s v="Centre Affaires Centre Ville"/>
    <s v="45388/2023/1"/>
    <s v="Mise en place"/>
    <x v="0"/>
    <n v="0.6"/>
    <d v="2023-09-09T00:00:00"/>
    <d v="2025-03-09T00:00:00"/>
    <s v="Pas réglé"/>
    <m/>
    <m/>
    <m/>
    <m/>
    <m/>
    <m/>
    <s v="89008/2023/1"/>
    <s v="5443/2024/PO/DRE/CAC/ND"/>
    <n v="2248275"/>
    <n v="1348965"/>
    <n v="224827.5"/>
    <d v="2024-02-17T00:00:00"/>
    <x v="0"/>
    <s v="Echue"/>
    <x v="1"/>
    <x v="1"/>
    <s v="OK"/>
    <x v="1"/>
    <n v="6386765"/>
    <n v="3832059"/>
  </r>
  <r>
    <n v="73570950618"/>
    <x v="0"/>
    <n v="55292235485"/>
    <s v="Maghreb Steel"/>
    <s v="Centre Affaires Hassan"/>
    <s v="77521/2023/1"/>
    <s v="Mise en place"/>
    <x v="1"/>
    <n v="0.5"/>
    <d v="2023-01-28T00:00:00"/>
    <d v="2024-07-28T00:00:00"/>
    <s v="Réglé"/>
    <d v="2023-11-07T00:00:00"/>
    <d v="2023-08-10T00:00:00"/>
    <s v="DOUNIALI"/>
    <s v="Tamwilcom"/>
    <d v="2024-06-11T00:00:00"/>
    <m/>
    <s v="37959/2023/1"/>
    <s v="5775/2024/PO/DRE/CAC/ND"/>
    <n v="6386765"/>
    <n v="3832059"/>
    <n v="638676.5"/>
    <d v="2024-02-15T00:00:00"/>
    <x v="1"/>
    <s v="Valide"/>
    <x v="1"/>
    <x v="0"/>
    <s v="KO"/>
    <x v="1"/>
    <n v="5138666"/>
    <n v="3083199.6"/>
  </r>
  <r>
    <n v="41494003616"/>
    <x v="1"/>
    <n v="98693967889"/>
    <s v="Maroc Telecom"/>
    <s v="Centre Affaires Chellah"/>
    <s v="90281/2023/1"/>
    <s v="Mise en place"/>
    <x v="1"/>
    <n v="0.6"/>
    <d v="2023-06-15T00:00:00"/>
    <d v="2024-12-15T00:00:00"/>
    <s v="Pas réglé"/>
    <m/>
    <m/>
    <m/>
    <m/>
    <m/>
    <m/>
    <s v="50599/2023/1"/>
    <s v="8164/2024/PO/DRE/CAC/ND"/>
    <n v="5138666"/>
    <n v="3083199.6"/>
    <n v="513866.60000000003"/>
    <d v="2024-10-11T00:00:00"/>
    <x v="1"/>
    <s v="Valide"/>
    <x v="1"/>
    <x v="1"/>
    <s v="KO"/>
    <x v="1"/>
    <n v="1507682"/>
    <n v="904609.2"/>
  </r>
  <r>
    <n v="74841721758"/>
    <x v="1"/>
    <n v="72135896111"/>
    <s v="Ciments du Maroc"/>
    <s v="Centre Affaires Chellah"/>
    <s v="49787/2023/1"/>
    <s v="Mise en place"/>
    <x v="1"/>
    <n v="0.6"/>
    <d v="2023-05-11T00:00:00"/>
    <d v="2024-11-11T00:00:00"/>
    <s v="Pas réglé"/>
    <m/>
    <m/>
    <m/>
    <m/>
    <m/>
    <m/>
    <s v="96529/2023/1"/>
    <s v="6484/2024/PO/DRE/CAC/ND"/>
    <n v="1507682"/>
    <n v="904609.2"/>
    <n v="150768.20000000001"/>
    <d v="2024-03-14T00:00:00"/>
    <x v="1"/>
    <s v="Echue"/>
    <x v="1"/>
    <x v="0"/>
    <s v="KO"/>
    <x v="0"/>
    <n v="4803283"/>
    <n v="2881969.8"/>
  </r>
  <r>
    <n v="69644074614"/>
    <x v="1"/>
    <n v="44210520568"/>
    <s v="OCP Group"/>
    <s v="Centre Affaires Centre Ville"/>
    <s v="13010/2023/1"/>
    <s v="Mise en place"/>
    <x v="1"/>
    <n v="0.6"/>
    <d v="2023-04-06T00:00:00"/>
    <d v="2024-10-06T00:00:00"/>
    <s v="Réglé"/>
    <d v="2023-08-17T00:00:00"/>
    <d v="2023-05-30T00:00:00"/>
    <s v="DOUNIALI"/>
    <s v="Tamwilcom"/>
    <d v="2024-03-30T00:00:00"/>
    <m/>
    <s v="96522/2023/1"/>
    <s v="1729/2024/PO/DRE/CAC/ND"/>
    <n v="4803283"/>
    <n v="2881969.8"/>
    <n v="480328.30000000005"/>
    <d v="2024-08-08T00:00:00"/>
    <x v="1"/>
    <s v="Echue"/>
    <x v="1"/>
    <x v="0"/>
    <s v="KO"/>
    <x v="0"/>
    <n v="1911557"/>
    <n v="1146934.2"/>
  </r>
  <r>
    <n v="13200839222"/>
    <x v="1"/>
    <n v="10511186982"/>
    <s v="Maghreb Steel"/>
    <s v="Centre Affaires Chellah"/>
    <s v="56056/2023/1"/>
    <s v="Renouvellement"/>
    <x v="0"/>
    <n v="0.7"/>
    <d v="2023-08-01T00:00:00"/>
    <d v="2025-02-01T00:00:00"/>
    <s v="Pas réglé"/>
    <m/>
    <m/>
    <m/>
    <m/>
    <m/>
    <m/>
    <s v="18761/2023/1"/>
    <s v="8560/2024/PO/DRE/CAC/ND"/>
    <n v="1911557"/>
    <n v="1146934.2"/>
    <n v="191155.7"/>
    <d v="2024-04-16T00:00:00"/>
    <x v="0"/>
    <s v="Valide"/>
    <x v="1"/>
    <x v="0"/>
    <s v="OK"/>
    <x v="1"/>
    <n v="9912016"/>
    <n v="5947209.5999999996"/>
  </r>
  <r>
    <n v="34070314307"/>
    <x v="1"/>
    <n v="12412244841"/>
    <s v="Managem"/>
    <s v="Centre Affaires Gueliz"/>
    <s v="48648/2023/1"/>
    <s v="Mise en place"/>
    <x v="0"/>
    <n v="0.6"/>
    <d v="2023-11-18T00:00:00"/>
    <d v="2025-05-18T00:00:00"/>
    <s v="Réglé"/>
    <d v="2023-10-29T00:00:00"/>
    <d v="2024-07-12T00:00:00"/>
    <s v="OCTROI"/>
    <s v="Front"/>
    <d v="2024-06-12T00:00:00"/>
    <m/>
    <s v="71889/2023/1"/>
    <s v="2229/2024/PO/DRE/CAC/ND"/>
    <n v="9912016"/>
    <n v="5947209.5999999996"/>
    <n v="991201.60000000009"/>
    <d v="2024-04-12T00:00:00"/>
    <x v="0"/>
    <s v="Valide"/>
    <x v="1"/>
    <x v="0"/>
    <s v="OK"/>
    <x v="0"/>
    <n v="7359220"/>
    <n v="4415532"/>
  </r>
  <r>
    <n v="34660609591"/>
    <x v="1"/>
    <n v="34103520846"/>
    <s v="Maghreb Steel"/>
    <s v="Centre Affaires Boughaz"/>
    <s v="96126/2023/1"/>
    <s v="Mise en place"/>
    <x v="1"/>
    <n v="0.7"/>
    <d v="2023-08-12T00:00:00"/>
    <d v="2025-02-12T00:00:00"/>
    <s v="Pas réglé"/>
    <m/>
    <m/>
    <m/>
    <m/>
    <m/>
    <m/>
    <s v="39802/2023/1"/>
    <s v="9297/2024/PO/DRE/CAC/ND"/>
    <n v="7359220"/>
    <n v="4415532"/>
    <n v="735922"/>
    <d v="2024-02-28T00:00:00"/>
    <x v="1"/>
    <s v="Valide"/>
    <x v="1"/>
    <x v="1"/>
    <s v="KO"/>
    <x v="1"/>
    <n v="4853170"/>
    <n v="2911902"/>
  </r>
  <r>
    <n v="88612452717"/>
    <x v="1"/>
    <n v="93924618344"/>
    <s v="Managem"/>
    <s v="Centre Affaires Boughaz"/>
    <s v="86130/2023/1"/>
    <s v="Renouvellement"/>
    <x v="1"/>
    <n v="0.6"/>
    <d v="2023-02-21T00:00:00"/>
    <d v="2024-08-21T00:00:00"/>
    <s v="Réglé"/>
    <d v="2023-04-01T00:00:00"/>
    <d v="2023-04-29T00:00:00"/>
    <s v="OCTROI"/>
    <s v="Front"/>
    <d v="2024-05-31T00:00:00"/>
    <m/>
    <s v="23006/2023/1"/>
    <s v="1804/2024/PO/DRE/CAC/ND"/>
    <n v="4853170"/>
    <n v="2911902"/>
    <n v="485317"/>
    <d v="2024-03-10T00:00:00"/>
    <x v="1"/>
    <s v="Valide"/>
    <x v="1"/>
    <x v="1"/>
    <s v="KO"/>
    <x v="1"/>
    <n v="6521710"/>
    <n v="3913026"/>
  </r>
  <r>
    <n v="49190907307"/>
    <x v="1"/>
    <n v="62370101384"/>
    <s v="Maroc Telecom"/>
    <s v="Centre Affaires Hivernage"/>
    <s v="60539/2023/1"/>
    <s v="Renouvellement"/>
    <x v="0"/>
    <n v="0.6"/>
    <d v="2023-08-26T00:00:00"/>
    <d v="2025-02-26T00:00:00"/>
    <s v="Réglé"/>
    <d v="2023-11-15T00:00:00"/>
    <d v="2023-09-10T00:00:00"/>
    <s v="DOUNIALI"/>
    <s v="Tamwilcom"/>
    <d v="2024-10-06T00:00:00"/>
    <m/>
    <s v="53080/2023/1"/>
    <s v="8284/2024/PO/DRE/CAC/ND"/>
    <n v="6521710"/>
    <n v="3913026"/>
    <n v="652171"/>
    <d v="2024-03-09T00:00:00"/>
    <x v="0"/>
    <s v="Valide"/>
    <x v="1"/>
    <x v="1"/>
    <s v="OK"/>
    <x v="0"/>
    <n v="7438139"/>
    <n v="4462883.3999999994"/>
  </r>
  <r>
    <n v="74180175736"/>
    <x v="1"/>
    <n v="86255945824"/>
    <s v="Ciments du Maroc"/>
    <s v="Centre Affaires Boughaz"/>
    <s v="69257/2023/1"/>
    <s v="Renouvellement"/>
    <x v="1"/>
    <n v="0.6"/>
    <d v="2023-12-06T00:00:00"/>
    <d v="2025-06-06T00:00:00"/>
    <s v="Pas réglé"/>
    <m/>
    <m/>
    <m/>
    <m/>
    <m/>
    <m/>
    <s v="73415/2023/1"/>
    <s v="5601/2024/PO/DRE/CAC/ND"/>
    <n v="7438139"/>
    <n v="4462883.3999999994"/>
    <n v="743813.9"/>
    <d v="2024-02-17T00:00:00"/>
    <x v="1"/>
    <s v="Echue"/>
    <x v="1"/>
    <x v="0"/>
    <s v="KO"/>
    <x v="0"/>
    <n v="1043151"/>
    <n v="625890.6"/>
  </r>
  <r>
    <n v="99618140827"/>
    <x v="1"/>
    <n v="16991395802"/>
    <s v="Ciments du Maroc"/>
    <s v="Centre Affaires Anfa"/>
    <s v="54298/2023/1"/>
    <s v="Renouvellement"/>
    <x v="0"/>
    <n v="0.7"/>
    <d v="2023-04-06T00:00:00"/>
    <d v="2024-10-06T00:00:00"/>
    <s v="Réglé"/>
    <d v="2023-05-25T00:00:00"/>
    <d v="2024-03-18T00:00:00"/>
    <s v="OCTROI"/>
    <s v="Front"/>
    <d v="2024-09-09T00:00:00"/>
    <m/>
    <s v="29683/2023/1"/>
    <s v="8965/2024/PO/DRE/CAC/ND"/>
    <n v="1043151"/>
    <n v="625890.6"/>
    <n v="104315.1"/>
    <d v="2024-02-15T00:00:00"/>
    <x v="0"/>
    <s v="Valide"/>
    <x v="1"/>
    <x v="1"/>
    <s v="OK"/>
    <x v="0"/>
    <n v="5920521"/>
    <n v="3552312.6"/>
  </r>
  <r>
    <n v="82984767666"/>
    <x v="1"/>
    <n v="31929960239"/>
    <s v="Ciments du Maroc"/>
    <s v="Centre Affaires Palmier"/>
    <s v="60074/2023/1"/>
    <s v="Renouvellement"/>
    <x v="1"/>
    <n v="0.5"/>
    <d v="2023-09-04T00:00:00"/>
    <d v="2025-03-04T00:00:00"/>
    <s v="Réglé"/>
    <d v="2023-01-14T00:00:00"/>
    <d v="2023-10-31T00:00:00"/>
    <s v="OCTROI"/>
    <s v="Tamwilcom"/>
    <d v="2024-01-09T00:00:00"/>
    <m/>
    <s v="22975/2023/1"/>
    <s v="5206/2024/PO/DRE/CAC/ND"/>
    <n v="5920521"/>
    <n v="3552312.6"/>
    <n v="592052.1"/>
    <d v="2024-01-12T00:00:00"/>
    <x v="1"/>
    <s v="Valide"/>
    <x v="1"/>
    <x v="0"/>
    <s v="KO"/>
    <x v="0"/>
    <n v="2340380"/>
    <n v="1404228"/>
  </r>
  <r>
    <n v="47892141472"/>
    <x v="1"/>
    <n v="80277001358"/>
    <s v="Banque Populaire"/>
    <s v="Centre Affaires Gueliz"/>
    <s v="40962/2023/1"/>
    <s v="Mise en place"/>
    <x v="1"/>
    <n v="0.6"/>
    <d v="2023-10-14T00:00:00"/>
    <d v="2025-04-14T00:00:00"/>
    <s v="Pas réglé"/>
    <m/>
    <m/>
    <m/>
    <m/>
    <m/>
    <m/>
    <s v="33976/2023/1"/>
    <s v="5234/2024/PO/DRE/CAC/ND"/>
    <n v="2340380"/>
    <n v="1404228"/>
    <n v="234038"/>
    <d v="2024-10-15T00:00:00"/>
    <x v="1"/>
    <s v="Valide"/>
    <x v="1"/>
    <x v="1"/>
    <s v="KO"/>
    <x v="1"/>
    <n v="9770486"/>
    <n v="5862291.5999999996"/>
  </r>
  <r>
    <n v="72396505696"/>
    <x v="1"/>
    <n v="24651696118"/>
    <s v="Banque Populaire"/>
    <s v="Centre Affaires Agdal"/>
    <s v="65405/2023/1"/>
    <s v="Mise en place"/>
    <x v="1"/>
    <n v="0.7"/>
    <d v="2023-07-22T00:00:00"/>
    <d v="2025-01-22T00:00:00"/>
    <s v="Réglé"/>
    <d v="2023-08-16T00:00:00"/>
    <d v="2023-12-27T00:00:00"/>
    <s v="OCTROI"/>
    <s v="Front"/>
    <d v="2024-11-22T00:00:00"/>
    <m/>
    <s v="49324/2023/1"/>
    <s v="6743/2024/PO/DRE/CAC/ND"/>
    <n v="9770486"/>
    <n v="5862291.5999999996"/>
    <n v="977048.60000000009"/>
    <d v="2024-02-16T00:00:00"/>
    <x v="1"/>
    <s v="Valide"/>
    <x v="1"/>
    <x v="1"/>
    <s v="KO"/>
    <x v="0"/>
    <n v="8170948"/>
    <n v="4902568.8"/>
  </r>
  <r>
    <n v="64808642783"/>
    <x v="1"/>
    <n v="49649577194"/>
    <s v="Maroc Telecom"/>
    <s v="Centre Affaires Anfa"/>
    <s v="18529/2023/1"/>
    <s v="Mise en place"/>
    <x v="0"/>
    <n v="0.6"/>
    <d v="2023-07-18T00:00:00"/>
    <d v="2025-01-18T00:00:00"/>
    <s v="Pas réglé"/>
    <m/>
    <m/>
    <m/>
    <m/>
    <m/>
    <m/>
    <s v="38614/2023/1"/>
    <s v="5964/2024/PO/DRE/CAC/ND"/>
    <n v="8170948"/>
    <n v="4902568.8"/>
    <n v="817094.8"/>
    <d v="2024-01-03T00:00:00"/>
    <x v="0"/>
    <s v="Echue"/>
    <x v="1"/>
    <x v="1"/>
    <s v="OK"/>
    <x v="1"/>
    <n v="6852475"/>
    <n v="4111485"/>
  </r>
  <r>
    <n v="47794652231"/>
    <x v="1"/>
    <n v="33080183619"/>
    <s v="Société Générale Maroc"/>
    <s v="Centre Affaires Anfa"/>
    <s v="19248/2023/1"/>
    <s v="Mise en place"/>
    <x v="1"/>
    <n v="0.6"/>
    <d v="2023-10-18T00:00:00"/>
    <d v="2025-04-18T00:00:00"/>
    <s v="Réglé"/>
    <d v="2023-06-02T00:00:00"/>
    <d v="2024-03-01T00:00:00"/>
    <s v="OCTROI"/>
    <s v="Front"/>
    <d v="2024-05-30T00:00:00"/>
    <m/>
    <s v="30130/2023/1"/>
    <s v="4506/2024/PO/DRE/CAC/ND"/>
    <n v="6852475"/>
    <n v="4111485"/>
    <n v="685247.5"/>
    <d v="2024-03-05T00:00:00"/>
    <x v="1"/>
    <s v="Valide"/>
    <x v="1"/>
    <x v="1"/>
    <s v="KO"/>
    <x v="0"/>
    <n v="6935565"/>
    <n v="4161339"/>
  </r>
  <r>
    <n v="55513208817"/>
    <x v="1"/>
    <n v="17505657414"/>
    <s v="Cosumar"/>
    <s v="Centre Affaires Chellah"/>
    <s v="52377/2023/1"/>
    <s v="Mise en place"/>
    <x v="0"/>
    <n v="0.6"/>
    <d v="2023-04-25T00:00:00"/>
    <d v="2024-10-25T00:00:00"/>
    <s v="Réglé"/>
    <d v="2023-07-12T00:00:00"/>
    <d v="2023-09-03T00:00:00"/>
    <s v="OCTROI"/>
    <s v="Front"/>
    <d v="2024-12-29T00:00:00"/>
    <m/>
    <s v="64562/2023/1"/>
    <s v="9381/2024/PO/DRE/CAC/ND"/>
    <n v="6935565"/>
    <n v="4161339"/>
    <n v="693556.5"/>
    <d v="2024-03-31T00:00:00"/>
    <x v="0"/>
    <s v="Echue"/>
    <x v="1"/>
    <x v="1"/>
    <s v="OK"/>
    <x v="0"/>
    <n v="4932029"/>
    <n v="2959217.4"/>
  </r>
  <r>
    <n v="78368622875"/>
    <x v="1"/>
    <n v="72182543056"/>
    <s v="BMCE Bank"/>
    <s v="Centre Affaires Palmier"/>
    <s v="40901/2023/1"/>
    <s v="Mise en place"/>
    <x v="1"/>
    <n v="0.7"/>
    <d v="2023-06-19T00:00:00"/>
    <d v="2024-12-19T00:00:00"/>
    <s v="Pas réglé"/>
    <m/>
    <m/>
    <m/>
    <m/>
    <m/>
    <m/>
    <s v="29842/2023/1"/>
    <s v="7483/2024/PO/DRE/CAC/ND"/>
    <n v="4932029"/>
    <n v="2959217.4"/>
    <n v="493202.9"/>
    <d v="2024-03-22T00:00:00"/>
    <x v="1"/>
    <s v="Valide"/>
    <x v="1"/>
    <x v="1"/>
    <s v="KO"/>
    <x v="1"/>
    <n v="7561447"/>
    <n v="4536868.2"/>
  </r>
  <r>
    <n v="45995697465"/>
    <x v="1"/>
    <n v="65001878593"/>
    <s v="Maroc Telecom"/>
    <s v="Centre Affaires Hassan"/>
    <s v="16226/2023/1"/>
    <s v="Mise en place"/>
    <x v="0"/>
    <n v="0.6"/>
    <d v="2023-04-09T00:00:00"/>
    <d v="2024-10-09T00:00:00"/>
    <s v="Pas réglé"/>
    <m/>
    <m/>
    <m/>
    <m/>
    <m/>
    <m/>
    <s v="50322/2023/1"/>
    <s v="2289/2024/PO/DRE/CAC/ND"/>
    <n v="7561447"/>
    <n v="4536868.2"/>
    <n v="756144.70000000007"/>
    <d v="2024-03-01T00:00:00"/>
    <x v="0"/>
    <s v="Echue"/>
    <x v="1"/>
    <x v="1"/>
    <s v="OK"/>
    <x v="0"/>
    <n v="9248759"/>
    <n v="5549255.3999999994"/>
  </r>
  <r>
    <n v="68551993849"/>
    <x v="1"/>
    <n v="61989809632"/>
    <s v="Banque Populaire"/>
    <s v="Centre Affaires Palmier"/>
    <s v="66772/2023/1"/>
    <s v="Mise en place"/>
    <x v="1"/>
    <n v="0.6"/>
    <d v="2023-05-22T00:00:00"/>
    <d v="2024-11-22T00:00:00"/>
    <s v="Pas réglé"/>
    <m/>
    <m/>
    <m/>
    <m/>
    <m/>
    <m/>
    <s v="85105/2023/1"/>
    <s v="5892/2024/PO/DRE/CAC/ND"/>
    <n v="9248759"/>
    <n v="5549255.3999999994"/>
    <n v="924875.9"/>
    <d v="2024-03-30T00:00:00"/>
    <x v="1"/>
    <s v="Echue"/>
    <x v="1"/>
    <x v="1"/>
    <s v="KO"/>
    <x v="0"/>
    <n v="7782957"/>
    <n v="4669774.2"/>
  </r>
  <r>
    <n v="11873614545"/>
    <x v="1"/>
    <n v="40141438855"/>
    <s v="Société Générale Maroc"/>
    <s v="Centre Affaires Hassan"/>
    <s v="82515/2023/1"/>
    <s v="Mise en place"/>
    <x v="1"/>
    <n v="0.6"/>
    <d v="2023-09-28T00:00:00"/>
    <d v="2025-03-28T00:00:00"/>
    <s v="Réglé"/>
    <d v="2023-12-23T00:00:00"/>
    <d v="2023-09-29T00:00:00"/>
    <s v="OCTROI"/>
    <s v="Tamwilcom"/>
    <d v="2024-02-22T00:00:00"/>
    <m/>
    <s v="99649/2023/1"/>
    <s v="6907/2024/PO/DRE/CAC/ND"/>
    <n v="7782957"/>
    <n v="4669774.2"/>
    <n v="778295.70000000007"/>
    <d v="2024-04-16T00:00:00"/>
    <x v="1"/>
    <s v="Valide"/>
    <x v="1"/>
    <x v="1"/>
    <s v="KO"/>
    <x v="1"/>
    <n v="4013564"/>
    <n v="2408138.4"/>
  </r>
  <r>
    <n v="27893270819"/>
    <x v="1"/>
    <n v="87165849141"/>
    <s v="2M Atlas"/>
    <s v="Centre Affaires Maarif"/>
    <s v="82811/2023/1"/>
    <s v="Mise en place"/>
    <x v="0"/>
    <n v="0.6"/>
    <d v="2023-05-21T00:00:00"/>
    <d v="2024-11-21T00:00:00"/>
    <s v="Pas réglé"/>
    <m/>
    <m/>
    <m/>
    <m/>
    <m/>
    <m/>
    <s v="73533/2023/1"/>
    <s v="1202/2024/PO/DRE/CAC/ND"/>
    <n v="4013564"/>
    <n v="2408138.4"/>
    <n v="401356.4"/>
    <d v="2024-01-05T00:00:00"/>
    <x v="0"/>
    <s v="Echue"/>
    <x v="1"/>
    <x v="1"/>
    <s v="OK"/>
    <x v="1"/>
    <n v="9054868"/>
    <n v="5432920.7999999998"/>
  </r>
  <r>
    <n v="85243552775"/>
    <x v="1"/>
    <n v="56319230872"/>
    <s v="Maghreb Steel"/>
    <s v="Centre Affaires Anfa"/>
    <s v="18534/2023/1"/>
    <s v="Renouvellement"/>
    <x v="1"/>
    <n v="0.7"/>
    <d v="2023-02-19T00:00:00"/>
    <d v="2024-08-19T00:00:00"/>
    <s v="Pas réglé"/>
    <m/>
    <m/>
    <m/>
    <m/>
    <m/>
    <m/>
    <s v="68321/2023/1"/>
    <s v="5279/2024/PO/DRE/CAC/ND"/>
    <n v="9054868"/>
    <n v="5432920.7999999998"/>
    <n v="905486.8"/>
    <d v="2024-12-12T00:00:00"/>
    <x v="1"/>
    <s v="Valide"/>
    <x v="1"/>
    <x v="1"/>
    <s v="KO"/>
    <x v="1"/>
    <n v="7794677"/>
    <n v="4676806.2"/>
  </r>
  <r>
    <n v="79497347500"/>
    <x v="1"/>
    <n v="39314983026"/>
    <s v="2M Atlas"/>
    <s v="Centre Affaires Maarif"/>
    <s v="67541/2023/1"/>
    <s v="Mise en place"/>
    <x v="0"/>
    <n v="0.5"/>
    <d v="2023-09-21T00:00:00"/>
    <d v="2025-03-21T00:00:00"/>
    <s v="Réglé"/>
    <d v="2023-04-04T00:00:00"/>
    <d v="2024-01-20T00:00:00"/>
    <s v="OCTROI"/>
    <s v="Front"/>
    <d v="2024-10-05T00:00:00"/>
    <m/>
    <s v="34096/2023/1"/>
    <s v="9598/2024/PO/DRE/CAC/ND"/>
    <n v="7794677"/>
    <n v="4676806.2"/>
    <n v="779467.70000000007"/>
    <d v="2024-04-03T00:00:00"/>
    <x v="0"/>
    <s v="Echue"/>
    <x v="1"/>
    <x v="1"/>
    <s v="OK"/>
    <x v="0"/>
    <n v="2356789"/>
    <n v="1414073.4"/>
  </r>
  <r>
    <n v="86876740533"/>
    <x v="1"/>
    <n v="45767749037"/>
    <s v="2M Atlas"/>
    <s v="Centre Affaires Anfa"/>
    <s v="20535/2023/1"/>
    <s v="Mise en place"/>
    <x v="0"/>
    <n v="0.6"/>
    <d v="2023-07-29T00:00:00"/>
    <d v="2025-01-29T00:00:00"/>
    <s v="Pas réglé"/>
    <m/>
    <m/>
    <m/>
    <m/>
    <m/>
    <m/>
    <s v="10568/2023/1"/>
    <s v="6670/2024/PO/DRE/CAC/ND"/>
    <n v="2356789"/>
    <n v="1414073.4"/>
    <n v="235678.90000000002"/>
    <d v="2024-12-18T00:00:00"/>
    <x v="0"/>
    <s v="Valide"/>
    <x v="1"/>
    <x v="1"/>
    <s v="OK"/>
    <x v="0"/>
    <n v="2927282"/>
    <n v="1756369.2"/>
  </r>
  <r>
    <n v="34734877026"/>
    <x v="1"/>
    <n v="16260093598"/>
    <s v="Maroc Telecom"/>
    <s v="Centre Affaires Maarif"/>
    <s v="68130/2023/1"/>
    <s v="Renouvellement"/>
    <x v="0"/>
    <n v="0.6"/>
    <d v="2023-10-22T00:00:00"/>
    <d v="2025-04-22T00:00:00"/>
    <s v="Réglé"/>
    <d v="2023-11-04T00:00:00"/>
    <d v="2024-05-18T00:00:00"/>
    <s v="DOUNIALI"/>
    <s v="Front"/>
    <d v="2024-05-15T00:00:00"/>
    <m/>
    <s v="58630/2023/1"/>
    <s v="4402/2024/PO/DRE/CAC/ND"/>
    <n v="2927282"/>
    <n v="1756369.2"/>
    <n v="292728.2"/>
    <d v="2024-03-27T00:00:00"/>
    <x v="0"/>
    <s v="Echue"/>
    <x v="1"/>
    <x v="1"/>
    <s v="OK"/>
    <x v="0"/>
    <n v="1843779"/>
    <n v="1106267.3999999999"/>
  </r>
  <r>
    <n v="34365423423"/>
    <x v="1"/>
    <n v="99348049047"/>
    <s v="Managem"/>
    <s v="Centre Affaires Chellah"/>
    <s v="39174/2023/1"/>
    <s v="Renouvellement"/>
    <x v="0"/>
    <n v="0.6"/>
    <d v="2023-08-10T00:00:00"/>
    <d v="2025-02-10T00:00:00"/>
    <s v="Réglé"/>
    <d v="2023-09-18T00:00:00"/>
    <d v="2024-04-13T00:00:00"/>
    <s v="OCTROI"/>
    <s v="Front"/>
    <d v="2024-08-15T00:00:00"/>
    <m/>
    <s v="83914/2023/1"/>
    <s v="8808/2024/PO/DRE/CAC/ND"/>
    <n v="1843779"/>
    <n v="1106267.3999999999"/>
    <n v="184377.90000000002"/>
    <d v="2024-09-30T00:00:00"/>
    <x v="0"/>
    <s v="Echue"/>
    <x v="1"/>
    <x v="1"/>
    <s v="OK"/>
    <x v="0"/>
    <n v="7724199"/>
    <n v="4634519.3999999994"/>
  </r>
  <r>
    <n v="86624043192"/>
    <x v="1"/>
    <n v="52900249370"/>
    <s v="OCP Group"/>
    <s v="Centre Affaires Anfa"/>
    <s v="70451/2023/1"/>
    <s v="Mise en place"/>
    <x v="1"/>
    <n v="0.6"/>
    <d v="2023-05-22T00:00:00"/>
    <d v="2024-11-22T00:00:00"/>
    <s v="Réglé"/>
    <d v="2023-12-14T00:00:00"/>
    <d v="2023-12-14T00:00:00"/>
    <s v="DOUNIALI"/>
    <s v="Front"/>
    <d v="2024-05-17T00:00:00"/>
    <m/>
    <s v="56136/2023/1"/>
    <s v="1182/2024/PO/DRE/CAC/ND"/>
    <n v="7724199"/>
    <n v="4634519.3999999994"/>
    <n v="772419.9"/>
    <d v="2024-06-28T00:00:00"/>
    <x v="1"/>
    <s v="Echue"/>
    <x v="1"/>
    <x v="1"/>
    <s v="KO"/>
    <x v="0"/>
    <n v="3375082"/>
    <n v="2025049.2"/>
  </r>
  <r>
    <n v="21854998169"/>
    <x v="1"/>
    <n v="42771876755"/>
    <s v="OCP Group"/>
    <s v="Centre Affaires Maarif"/>
    <s v="57046/2023/1"/>
    <s v="Mise en place"/>
    <x v="0"/>
    <n v="0.7"/>
    <d v="2023-12-05T00:00:00"/>
    <d v="2025-06-05T00:00:00"/>
    <s v="Réglé"/>
    <d v="2023-12-15T00:00:00"/>
    <d v="2024-02-11T00:00:00"/>
    <s v="OCTROI"/>
    <s v="Tamwilcom"/>
    <d v="2024-01-10T00:00:00"/>
    <m/>
    <s v="79523/2023/1"/>
    <s v="8800/2024/PO/DRE/CAC/ND"/>
    <n v="3375082"/>
    <n v="2025049.2"/>
    <n v="337508.2"/>
    <d v="2024-08-10T00:00:00"/>
    <x v="0"/>
    <s v="Echue"/>
    <x v="1"/>
    <x v="1"/>
    <s v="OK"/>
    <x v="1"/>
    <n v="7935560"/>
    <n v="4761336"/>
  </r>
  <r>
    <n v="40206434093"/>
    <x v="1"/>
    <n v="32840740012"/>
    <s v="BMCE Bank"/>
    <s v="Centre Affaires Anfa"/>
    <s v="79136/2023/1"/>
    <s v="Renouvellement"/>
    <x v="0"/>
    <n v="0.7"/>
    <d v="2023-09-19T00:00:00"/>
    <d v="2025-03-19T00:00:00"/>
    <s v="Pas réglé"/>
    <m/>
    <m/>
    <m/>
    <m/>
    <m/>
    <m/>
    <s v="56599/2023/1"/>
    <s v="1842/2024/PO/DRE/CAC/ND"/>
    <n v="7935560"/>
    <n v="4761336"/>
    <n v="793556"/>
    <d v="2024-01-26T00:00:00"/>
    <x v="0"/>
    <s v="Valide"/>
    <x v="1"/>
    <x v="1"/>
    <s v="OK"/>
    <x v="1"/>
    <n v="8268235"/>
    <n v="4960941"/>
  </r>
  <r>
    <n v="13755553134"/>
    <x v="1"/>
    <n v="81868704360"/>
    <s v="2M Atlas"/>
    <s v="Centre Affaires Maarif"/>
    <s v="53278/2023/1"/>
    <s v="Renouvellement"/>
    <x v="0"/>
    <n v="0.6"/>
    <d v="2023-08-23T00:00:00"/>
    <d v="2025-02-23T00:00:00"/>
    <s v="Réglé"/>
    <d v="2023-03-17T00:00:00"/>
    <d v="2024-08-18T00:00:00"/>
    <s v="OCTROI"/>
    <s v="Front"/>
    <d v="2024-01-04T00:00:00"/>
    <m/>
    <s v="21031/2023/1"/>
    <s v="3043/2024/PO/DRE/CAC/ND"/>
    <n v="8268235"/>
    <n v="4960941"/>
    <n v="826823.5"/>
    <d v="2024-03-30T00:00:00"/>
    <x v="0"/>
    <s v="Valide"/>
    <x v="1"/>
    <x v="1"/>
    <s v="OK"/>
    <x v="0"/>
    <n v="1271994"/>
    <n v="763196.4"/>
  </r>
  <r>
    <n v="64909475871"/>
    <x v="1"/>
    <n v="45148159844"/>
    <s v="Cosumar"/>
    <s v="Centre Affaires Agdal"/>
    <s v="32015/2023/1"/>
    <s v="Mise en place"/>
    <x v="0"/>
    <n v="0.7"/>
    <d v="2023-05-23T00:00:00"/>
    <d v="2024-11-23T00:00:00"/>
    <s v="Pas réglé"/>
    <m/>
    <m/>
    <m/>
    <m/>
    <m/>
    <m/>
    <s v="43423/2023/1"/>
    <s v="3525/2024/PO/DRE/CAC/ND"/>
    <n v="1271994"/>
    <n v="763196.4"/>
    <n v="127199.40000000001"/>
    <d v="2024-03-06T00:00:00"/>
    <x v="0"/>
    <s v="Valide"/>
    <x v="1"/>
    <x v="1"/>
    <s v="OK"/>
    <x v="1"/>
    <n v="6501648"/>
    <n v="3900988.8"/>
  </r>
  <r>
    <n v="13528927817"/>
    <x v="1"/>
    <n v="73668512920"/>
    <s v="OCP Group"/>
    <s v="Centre Affaires Boughaz"/>
    <s v="45435/2023/1"/>
    <s v="Renouvellement"/>
    <x v="1"/>
    <n v="0.6"/>
    <d v="2023-06-23T00:00:00"/>
    <d v="2024-12-23T00:00:00"/>
    <s v="Réglé"/>
    <d v="2023-11-15T00:00:00"/>
    <d v="2023-10-28T00:00:00"/>
    <s v="DOUNIALI"/>
    <s v="Front"/>
    <d v="2024-09-22T00:00:00"/>
    <m/>
    <s v="37887/2023/1"/>
    <s v="4535/2024/PO/DRE/CAC/ND"/>
    <n v="6501648"/>
    <n v="3900988.8"/>
    <n v="650164.80000000005"/>
    <d v="2024-04-08T00:00:00"/>
    <x v="1"/>
    <s v="Valide"/>
    <x v="1"/>
    <x v="1"/>
    <s v="KO"/>
    <x v="1"/>
    <n v="9894824"/>
    <n v="5936894.3999999994"/>
  </r>
  <r>
    <n v="34002082575"/>
    <x v="1"/>
    <n v="50052947326"/>
    <s v="BMCE Bank"/>
    <s v="Centre Affaires Centre Ville"/>
    <s v="78941/2023/1"/>
    <s v="Renouvellement"/>
    <x v="0"/>
    <n v="0.6"/>
    <d v="2023-12-25T00:00:00"/>
    <d v="2025-06-25T00:00:00"/>
    <s v="Pas réglé"/>
    <m/>
    <m/>
    <m/>
    <m/>
    <m/>
    <m/>
    <s v="30664/2023/1"/>
    <s v="4796/2024/PO/DRE/CAC/ND"/>
    <n v="9894824"/>
    <n v="5936894.3999999994"/>
    <n v="989482.4"/>
    <d v="2024-06-18T00:00:00"/>
    <x v="0"/>
    <s v="Valide"/>
    <x v="1"/>
    <x v="1"/>
    <s v="OK"/>
    <x v="0"/>
    <n v="7805548"/>
    <n v="4683328.8"/>
  </r>
  <r>
    <n v="14352607001"/>
    <x v="1"/>
    <n v="64819482661"/>
    <s v="Société Générale Maroc"/>
    <s v="Centre Affaires Gueliz"/>
    <s v="85761/2023/1"/>
    <s v="Mise en place"/>
    <x v="0"/>
    <n v="0.6"/>
    <d v="2023-05-13T00:00:00"/>
    <d v="2024-11-13T00:00:00"/>
    <s v="Réglé"/>
    <d v="2023-05-14T00:00:00"/>
    <d v="2024-02-27T00:00:00"/>
    <s v="OCTROI"/>
    <s v="Tamwilcom"/>
    <d v="2024-12-05T00:00:00"/>
    <m/>
    <s v="35399/2023/1"/>
    <s v="6003/2024/PO/DRE/CAC/ND"/>
    <n v="7805548"/>
    <n v="4683328.8"/>
    <n v="780554.8"/>
    <d v="2024-04-08T00:00:00"/>
    <x v="0"/>
    <s v="Echue"/>
    <x v="1"/>
    <x v="1"/>
    <s v="OK"/>
    <x v="1"/>
    <n v="3750917"/>
    <n v="2250550.1999999997"/>
  </r>
  <r>
    <n v="59131728318"/>
    <x v="1"/>
    <n v="37524853233"/>
    <s v="Cosumar"/>
    <s v="Centre Affaires Centre Ville"/>
    <s v="63653/2023/1"/>
    <s v="Renouvellement"/>
    <x v="0"/>
    <n v="0.6"/>
    <d v="2023-05-02T00:00:00"/>
    <d v="2024-11-02T00:00:00"/>
    <s v="Réglé"/>
    <d v="2023-09-03T00:00:00"/>
    <d v="2023-09-22T00:00:00"/>
    <s v="OCTROI"/>
    <s v="Front"/>
    <d v="2024-05-09T00:00:00"/>
    <m/>
    <s v="39719/2023/1"/>
    <s v="4472/2024/PO/DRE/CAC/ND"/>
    <n v="3750917"/>
    <n v="2250550.1999999997"/>
    <n v="375091.7"/>
    <d v="2024-06-18T00:00:00"/>
    <x v="0"/>
    <s v="Valide"/>
    <x v="1"/>
    <x v="1"/>
    <s v="OK"/>
    <x v="1"/>
    <n v="5803178"/>
    <n v="3481906.8"/>
  </r>
  <r>
    <n v="32885395899"/>
    <x v="1"/>
    <n v="66252971112"/>
    <s v="Maroc Telecom"/>
    <s v="Centre Affaires Chellah"/>
    <s v="77276/2023/1"/>
    <s v="Renouvellement"/>
    <x v="1"/>
    <n v="0.7"/>
    <d v="2023-03-09T00:00:00"/>
    <d v="2024-09-09T00:00:00"/>
    <s v="Réglé"/>
    <d v="2023-05-06T00:00:00"/>
    <d v="2024-01-08T00:00:00"/>
    <s v="DOUNIALI"/>
    <s v="Front"/>
    <d v="2024-06-26T00:00:00"/>
    <m/>
    <s v="48466/2023/1"/>
    <s v="1677/2024/PO/DRE/CAC/ND"/>
    <n v="5803178"/>
    <n v="3481906.8"/>
    <n v="580317.80000000005"/>
    <d v="2024-03-15T00:00:00"/>
    <x v="1"/>
    <s v="Echue"/>
    <x v="1"/>
    <x v="1"/>
    <s v="KO"/>
    <x v="0"/>
    <n v="1065757"/>
    <n v="639454.19999999995"/>
  </r>
  <r>
    <n v="73997109486"/>
    <x v="1"/>
    <n v="29479918508"/>
    <s v="Ciments du Maroc"/>
    <s v="Centre Affaires Centre Ville"/>
    <s v="45528/2023/1"/>
    <s v="Renouvellement"/>
    <x v="0"/>
    <n v="0.7"/>
    <d v="2023-04-02T00:00:00"/>
    <d v="2024-10-02T00:00:00"/>
    <s v="Pas réglé"/>
    <m/>
    <m/>
    <m/>
    <m/>
    <m/>
    <m/>
    <s v="80654/2023/1"/>
    <s v="8923/2024/PO/DRE/CAC/ND"/>
    <n v="1065757"/>
    <n v="639454.19999999995"/>
    <n v="106575.70000000001"/>
    <d v="2024-07-27T00:00:00"/>
    <x v="0"/>
    <s v="Echue"/>
    <x v="1"/>
    <x v="1"/>
    <s v="OK"/>
    <x v="1"/>
    <n v="1963154"/>
    <n v="1177892.3999999999"/>
  </r>
  <r>
    <n v="96971532806"/>
    <x v="1"/>
    <n v="95348325936"/>
    <s v="Cosumar"/>
    <s v="Centre Affaires Agdal"/>
    <s v="44762/2023/1"/>
    <s v="Renouvellement"/>
    <x v="0"/>
    <n v="0.6"/>
    <d v="2023-12-20T00:00:00"/>
    <d v="2025-06-20T00:00:00"/>
    <s v="Réglé"/>
    <d v="2023-05-29T00:00:00"/>
    <d v="2024-02-20T00:00:00"/>
    <s v="OCTROI"/>
    <s v="Tamwilcom"/>
    <d v="2024-07-23T00:00:00"/>
    <m/>
    <s v="36448/2023/1"/>
    <s v="3044/2024/PO/DRE/CAC/ND"/>
    <n v="1963154"/>
    <n v="1177892.3999999999"/>
    <n v="196315.40000000002"/>
    <d v="2024-05-26T00:00:00"/>
    <x v="0"/>
    <s v="Valide"/>
    <x v="1"/>
    <x v="1"/>
    <s v="OK"/>
    <x v="0"/>
    <n v="6130711"/>
    <n v="3678426.6"/>
  </r>
  <r>
    <n v="46866548742"/>
    <x v="1"/>
    <n v="84628771940"/>
    <s v="Ciments du Maroc"/>
    <s v="Centre Affaires Palmier"/>
    <s v="76470/2023/1"/>
    <s v="Mise en place"/>
    <x v="1"/>
    <n v="0.6"/>
    <d v="2023-10-14T00:00:00"/>
    <d v="2025-04-14T00:00:00"/>
    <s v="Pas réglé"/>
    <m/>
    <m/>
    <m/>
    <m/>
    <m/>
    <m/>
    <s v="34732/2023/1"/>
    <s v="9954/2024/PO/DRE/CAC/ND"/>
    <n v="6130711"/>
    <n v="3678426.6"/>
    <n v="613071.1"/>
    <d v="2024-07-02T00:00:00"/>
    <x v="1"/>
    <s v="Echue"/>
    <x v="1"/>
    <x v="1"/>
    <s v="KO"/>
    <x v="1"/>
    <n v="1857752"/>
    <n v="1114651.2"/>
  </r>
  <r>
    <n v="10301984091"/>
    <x v="1"/>
    <n v="64675016219"/>
    <s v="Société Générale Maroc"/>
    <s v="Centre Affaires Maarif"/>
    <s v="51929/2023/1"/>
    <s v="Renouvellement"/>
    <x v="1"/>
    <n v="0.6"/>
    <d v="2023-05-09T00:00:00"/>
    <d v="2024-11-09T00:00:00"/>
    <s v="Pas réglé"/>
    <m/>
    <m/>
    <m/>
    <m/>
    <m/>
    <m/>
    <s v="39752/2023/1"/>
    <s v="9906/2024/PO/DRE/CAC/ND"/>
    <n v="1857752"/>
    <n v="1114651.2"/>
    <n v="185775.2"/>
    <d v="2024-07-19T00:00:00"/>
    <x v="1"/>
    <s v="Valide"/>
    <x v="1"/>
    <x v="1"/>
    <s v="KO"/>
    <x v="0"/>
    <n v="1774849"/>
    <n v="1064909.3999999999"/>
  </r>
  <r>
    <n v="81243066023"/>
    <x v="1"/>
    <n v="49526075851"/>
    <s v="Maroc Telecom"/>
    <s v="Centre Affaires Maarif"/>
    <s v="48973/2023/1"/>
    <s v="Mise en place"/>
    <x v="0"/>
    <n v="0.7"/>
    <d v="2023-08-20T00:00:00"/>
    <d v="2025-02-20T00:00:00"/>
    <s v="Pas réglé"/>
    <m/>
    <m/>
    <m/>
    <m/>
    <m/>
    <m/>
    <s v="93162/2023/1"/>
    <s v="4832/2024/PO/DRE/CAC/ND"/>
    <n v="1774849"/>
    <n v="1064909.3999999999"/>
    <n v="177484.90000000002"/>
    <d v="2024-01-12T00:00:00"/>
    <x v="0"/>
    <s v="Echue"/>
    <x v="1"/>
    <x v="1"/>
    <s v="OK"/>
    <x v="1"/>
    <n v="3823090"/>
    <n v="2293854"/>
  </r>
  <r>
    <n v="16862789072"/>
    <x v="1"/>
    <n v="96740325436"/>
    <s v="Maghreb Steel"/>
    <s v="Centre Affaires Chellah"/>
    <s v="71442/2023/1"/>
    <s v="Renouvellement"/>
    <x v="0"/>
    <n v="0.6"/>
    <d v="2023-10-22T00:00:00"/>
    <d v="2025-04-22T00:00:00"/>
    <s v="Réglé"/>
    <d v="2023-03-17T00:00:00"/>
    <d v="2024-01-28T00:00:00"/>
    <s v="DOUNIALI"/>
    <s v="Tamwilcom"/>
    <d v="2024-12-13T00:00:00"/>
    <m/>
    <s v="57035/2023/1"/>
    <s v="1769/2024/PO/DRE/CAC/ND"/>
    <n v="3823090"/>
    <n v="2293854"/>
    <n v="382309"/>
    <d v="2024-03-06T00:00:00"/>
    <x v="0"/>
    <s v="Echue"/>
    <x v="1"/>
    <x v="1"/>
    <s v="OK"/>
    <x v="1"/>
    <n v="2730425"/>
    <n v="1638255"/>
  </r>
  <r>
    <n v="30295604958"/>
    <x v="1"/>
    <n v="42044023696"/>
    <s v="BMCE Bank"/>
    <s v="Centre Affaires Boughaz"/>
    <s v="52274/2023/1"/>
    <s v="Renouvellement"/>
    <x v="0"/>
    <n v="0.6"/>
    <d v="2023-08-31T00:00:00"/>
    <d v="2025-02-28T00:00:00"/>
    <s v="Réglé"/>
    <d v="2023-07-24T00:00:00"/>
    <d v="2024-08-20T00:00:00"/>
    <s v="OCTROI"/>
    <s v="Tamwilcom"/>
    <d v="2024-04-29T00:00:00"/>
    <m/>
    <s v="21328/2023/1"/>
    <s v="7020/2024/PO/DRE/CAC/ND"/>
    <n v="2730425"/>
    <n v="1638255"/>
    <n v="273042.5"/>
    <d v="2024-11-22T00:00:00"/>
    <x v="0"/>
    <s v="Echue"/>
    <x v="1"/>
    <x v="1"/>
    <s v="OK"/>
    <x v="0"/>
    <n v="7334304"/>
    <n v="4400582.3999999994"/>
  </r>
  <r>
    <n v="89388480067"/>
    <x v="1"/>
    <n v="43488950690"/>
    <s v="2M Atlas"/>
    <s v="Centre Affaires Gueliz"/>
    <s v="25272/2023/1"/>
    <s v="Renouvellement"/>
    <x v="1"/>
    <n v="0.6"/>
    <d v="2023-12-12T00:00:00"/>
    <d v="2025-06-12T00:00:00"/>
    <s v="Réglé"/>
    <d v="2023-10-26T00:00:00"/>
    <d v="2024-03-29T00:00:00"/>
    <s v="DOUNIALI"/>
    <s v="Front"/>
    <d v="2024-08-17T00:00:00"/>
    <m/>
    <s v="99931/2023/1"/>
    <s v="4933/2024/PO/DRE/CAC/ND"/>
    <n v="7334304"/>
    <n v="4400582.3999999994"/>
    <n v="733430.4"/>
    <d v="2024-11-23T00:00:00"/>
    <x v="1"/>
    <s v="Valide"/>
    <x v="1"/>
    <x v="1"/>
    <s v="KO"/>
    <x v="1"/>
    <n v="1604099"/>
    <n v="962459.39999999991"/>
  </r>
  <r>
    <n v="18955626568"/>
    <x v="1"/>
    <n v="50870500171"/>
    <s v="Société Générale Maroc"/>
    <s v="Centre Affaires Hivernage"/>
    <s v="25589/2023/1"/>
    <s v="Mise en place"/>
    <x v="1"/>
    <n v="0.6"/>
    <d v="2023-01-07T00:00:00"/>
    <d v="2024-07-07T00:00:00"/>
    <s v="Pas réglé"/>
    <m/>
    <m/>
    <m/>
    <m/>
    <m/>
    <m/>
    <s v="83864/2023/1"/>
    <s v="2222/2024/PO/DRE/CAC/ND"/>
    <n v="1604099"/>
    <n v="962459.39999999991"/>
    <n v="160409.90000000002"/>
    <d v="2024-07-15T00:00:00"/>
    <x v="1"/>
    <s v="Valide"/>
    <x v="1"/>
    <x v="1"/>
    <s v="KO"/>
    <x v="0"/>
    <n v="8407565"/>
    <n v="5044539"/>
  </r>
  <r>
    <n v="73525202986"/>
    <x v="1"/>
    <n v="51442257767"/>
    <s v="BMCE Bank"/>
    <s v="Centre Affaires Anfa"/>
    <s v="37267/2023/1"/>
    <s v="Renouvellement"/>
    <x v="1"/>
    <n v="0.6"/>
    <d v="2023-03-29T00:00:00"/>
    <d v="2024-09-29T00:00:00"/>
    <s v="Réglé"/>
    <d v="2023-11-01T00:00:00"/>
    <d v="2023-09-02T00:00:00"/>
    <s v="DOUNIALI"/>
    <s v="Front"/>
    <d v="2024-02-05T00:00:00"/>
    <m/>
    <s v="55696/2023/1"/>
    <s v="1173/2024/PO/DRE/CAC/ND"/>
    <n v="8407565"/>
    <n v="5044539"/>
    <n v="840756.5"/>
    <d v="2024-10-15T00:00:00"/>
    <x v="1"/>
    <s v="Valide"/>
    <x v="1"/>
    <x v="1"/>
    <s v="KO"/>
    <x v="1"/>
    <n v="2050748"/>
    <n v="1230448.8"/>
  </r>
  <r>
    <n v="68072404865"/>
    <x v="1"/>
    <n v="19746652308"/>
    <s v="Banque Populaire"/>
    <s v="Centre Affaires Hivernage"/>
    <s v="10632/2023/1"/>
    <s v="Mise en place"/>
    <x v="0"/>
    <n v="0.6"/>
    <d v="2023-07-15T00:00:00"/>
    <d v="2025-01-15T00:00:00"/>
    <s v="Pas réglé"/>
    <m/>
    <m/>
    <m/>
    <m/>
    <m/>
    <m/>
    <s v="85612/2023/1"/>
    <s v="3534/2024/PO/DRE/CAC/ND"/>
    <n v="2050748"/>
    <n v="1230448.8"/>
    <n v="205074.80000000002"/>
    <d v="2024-12-07T00:00:00"/>
    <x v="0"/>
    <s v="Valide"/>
    <x v="1"/>
    <x v="1"/>
    <s v="OK"/>
    <x v="1"/>
    <n v="6582331"/>
    <n v="3949398.5999999996"/>
  </r>
  <r>
    <n v="92504598730"/>
    <x v="1"/>
    <n v="74849548971"/>
    <s v="2M Atlas"/>
    <s v="Centre Affaires Hivernage"/>
    <s v="55409/2023/1"/>
    <s v="Renouvellement"/>
    <x v="0"/>
    <n v="0.6"/>
    <d v="2023-02-09T00:00:00"/>
    <d v="2024-08-09T00:00:00"/>
    <s v="Réglé"/>
    <d v="2023-07-20T00:00:00"/>
    <d v="2023-07-25T00:00:00"/>
    <s v="DOUNIALI"/>
    <s v="Tamwilcom"/>
    <d v="2024-10-05T00:00:00"/>
    <m/>
    <s v="65989/2023/1"/>
    <s v="8465/2024/PO/DRE/CAC/ND"/>
    <n v="6582331"/>
    <n v="3949398.5999999996"/>
    <n v="658233.10000000009"/>
    <d v="2024-10-26T00:00:00"/>
    <x v="0"/>
    <s v="Echue"/>
    <x v="1"/>
    <x v="1"/>
    <s v="OK"/>
    <x v="0"/>
    <n v="5048787"/>
    <n v="3029272.1999999997"/>
  </r>
  <r>
    <n v="19386154402"/>
    <x v="1"/>
    <n v="13318109360"/>
    <s v="OCP Group"/>
    <s v="Centre Affaires Hivernage"/>
    <s v="43603/2023/1"/>
    <s v="Mise en place"/>
    <x v="1"/>
    <n v="0.6"/>
    <d v="2023-02-04T00:00:00"/>
    <d v="2024-08-04T00:00:00"/>
    <s v="Pas réglé"/>
    <m/>
    <m/>
    <m/>
    <m/>
    <m/>
    <m/>
    <s v="65502/2023/1"/>
    <s v="5939/2024/PO/DRE/CAC/ND"/>
    <n v="5048787"/>
    <n v="3029272.1999999997"/>
    <n v="504878.7"/>
    <d v="2024-06-01T00:00:00"/>
    <x v="1"/>
    <s v="Valide"/>
    <x v="1"/>
    <x v="1"/>
    <s v="KO"/>
    <x v="1"/>
    <n v="1701777"/>
    <n v="1021066.2"/>
  </r>
  <r>
    <n v="53310930826"/>
    <x v="1"/>
    <n v="81738197176"/>
    <s v="Maroc Telecom"/>
    <s v="Centre Affaires Boughaz"/>
    <s v="53496/2023/1"/>
    <s v="Mise en place"/>
    <x v="1"/>
    <n v="0.6"/>
    <d v="2023-12-22T00:00:00"/>
    <d v="2025-06-22T00:00:00"/>
    <s v="Réglé"/>
    <d v="2023-01-03T00:00:00"/>
    <d v="2024-12-09T00:00:00"/>
    <s v="OCTROI"/>
    <s v="Front"/>
    <d v="2024-04-17T00:00:00"/>
    <m/>
    <s v="21886/2023/1"/>
    <s v="6166/2024/PO/DRE/CAC/ND"/>
    <n v="1701777"/>
    <n v="1021066.2"/>
    <n v="170177.7"/>
    <d v="2024-08-20T00:00:00"/>
    <x v="1"/>
    <s v="Valide"/>
    <x v="1"/>
    <x v="1"/>
    <s v="KO"/>
    <x v="0"/>
    <n v="6852957"/>
    <n v="4111774.1999999997"/>
  </r>
  <r>
    <n v="88828330046"/>
    <x v="1"/>
    <n v="86388750264"/>
    <s v="Société Générale Maroc"/>
    <s v="Centre Affaires Gueliz"/>
    <s v="86901/2023/1"/>
    <s v="Renouvellement"/>
    <x v="1"/>
    <n v="0.7"/>
    <d v="2023-02-21T00:00:00"/>
    <d v="2024-08-21T00:00:00"/>
    <s v="Réglé"/>
    <d v="2023-07-03T00:00:00"/>
    <d v="2023-09-29T00:00:00"/>
    <s v="DOUNIALI"/>
    <s v="Front"/>
    <d v="2024-02-21T00:00:00"/>
    <m/>
    <s v="49795/2023/1"/>
    <s v="7748/2024/PO/DRE/CAC/ND"/>
    <n v="6852957"/>
    <n v="4111774.1999999997"/>
    <n v="685295.70000000007"/>
    <d v="2024-10-09T00:00:00"/>
    <x v="1"/>
    <s v="Echue"/>
    <x v="1"/>
    <x v="1"/>
    <s v="KO"/>
    <x v="0"/>
    <n v="8324946"/>
    <n v="4994967.5999999996"/>
  </r>
  <r>
    <n v="25316539506"/>
    <x v="1"/>
    <n v="89686608884"/>
    <s v="2M Atlas"/>
    <s v="Centre Affaires Palmier"/>
    <s v="46178/2023/1"/>
    <s v="Renouvellement"/>
    <x v="0"/>
    <n v="0.6"/>
    <d v="2023-02-28T00:00:00"/>
    <d v="2024-08-28T00:00:00"/>
    <s v="Réglé"/>
    <d v="2023-03-19T00:00:00"/>
    <d v="2023-04-19T00:00:00"/>
    <s v="OCTROI"/>
    <s v="Tamwilcom"/>
    <d v="2024-12-26T00:00:00"/>
    <m/>
    <s v="28378/2023/1"/>
    <s v="4070/2024/PO/DRE/CAC/ND"/>
    <n v="8324946"/>
    <n v="4994967.5999999996"/>
    <n v="832494.60000000009"/>
    <d v="2024-07-22T00:00:00"/>
    <x v="0"/>
    <s v="Valide"/>
    <x v="1"/>
    <x v="1"/>
    <s v="OK"/>
    <x v="0"/>
    <n v="9270346"/>
    <n v="5562207.5999999996"/>
  </r>
  <r>
    <n v="84455689818"/>
    <x v="1"/>
    <n v="96809220465"/>
    <s v="BMCE Bank"/>
    <s v="Centre Affaires Gueliz"/>
    <s v="37156/2023/1"/>
    <s v="Renouvellement"/>
    <x v="0"/>
    <n v="0.6"/>
    <d v="2023-02-23T00:00:00"/>
    <d v="2024-08-23T00:00:00"/>
    <s v="Réglé"/>
    <d v="2023-11-19T00:00:00"/>
    <d v="2023-10-15T00:00:00"/>
    <s v="DOUNIALI"/>
    <s v="Front"/>
    <d v="2024-08-15T00:00:00"/>
    <m/>
    <s v="22508/2023/1"/>
    <s v="9465/2024/PO/DRE/CAC/ND"/>
    <n v="9270346"/>
    <n v="5562207.5999999996"/>
    <n v="927034.60000000009"/>
    <d v="2024-08-15T00:00:00"/>
    <x v="0"/>
    <s v="Valide"/>
    <x v="1"/>
    <x v="1"/>
    <s v="OK"/>
    <x v="0"/>
    <n v="2024430"/>
    <n v="1214658"/>
  </r>
  <r>
    <n v="83304744779"/>
    <x v="1"/>
    <n v="84229915818"/>
    <s v="BMCE Bank"/>
    <s v="Centre Affaires Palmier"/>
    <s v="95134/2023/1"/>
    <s v="Renouvellement"/>
    <x v="0"/>
    <n v="0.6"/>
    <d v="2023-05-01T00:00:00"/>
    <d v="2024-11-01T00:00:00"/>
    <s v="Pas réglé"/>
    <m/>
    <m/>
    <m/>
    <m/>
    <m/>
    <m/>
    <s v="92806/2023/1"/>
    <s v="7510/2024/PO/DRE/CAC/ND"/>
    <n v="2024430"/>
    <n v="1214658"/>
    <n v="202443"/>
    <d v="2024-03-02T00:00:00"/>
    <x v="0"/>
    <s v="Echue"/>
    <x v="1"/>
    <x v="1"/>
    <s v="OK"/>
    <x v="0"/>
    <n v="8743105"/>
    <n v="5245863"/>
  </r>
  <r>
    <n v="26290263355"/>
    <x v="1"/>
    <n v="24048386731"/>
    <s v="Ciments du Maroc"/>
    <s v="Centre Affaires Hivernage"/>
    <s v="73351/2023/1"/>
    <s v="Renouvellement"/>
    <x v="1"/>
    <n v="0.6"/>
    <d v="2023-12-06T00:00:00"/>
    <d v="2025-06-06T00:00:00"/>
    <s v="Pas réglé"/>
    <m/>
    <m/>
    <m/>
    <m/>
    <m/>
    <m/>
    <s v="93781/2023/1"/>
    <s v="3705/2024/PO/DRE/CAC/ND"/>
    <n v="8743105"/>
    <n v="5245863"/>
    <n v="874310.5"/>
    <d v="2024-06-13T00:00:00"/>
    <x v="1"/>
    <s v="Valide"/>
    <x v="1"/>
    <x v="1"/>
    <s v="KO"/>
    <x v="0"/>
    <n v="7028326"/>
    <n v="4216995.5999999996"/>
  </r>
  <r>
    <n v="59392879550"/>
    <x v="1"/>
    <n v="64954592304"/>
    <s v="Managem"/>
    <s v="Centre Affaires Agdal"/>
    <s v="49348/2023/1"/>
    <s v="Mise en place"/>
    <x v="1"/>
    <n v="0.7"/>
    <d v="2023-05-11T00:00:00"/>
    <d v="2024-11-11T00:00:00"/>
    <s v="Réglé"/>
    <d v="2023-03-27T00:00:00"/>
    <d v="2023-06-16T00:00:00"/>
    <s v="DOUNIALI"/>
    <s v="Front"/>
    <d v="2024-10-12T00:00:00"/>
    <m/>
    <s v="98070/2023/1"/>
    <s v="3176/2024/PO/DRE/CAC/ND"/>
    <n v="7028326"/>
    <n v="4216995.5999999996"/>
    <n v="702832.60000000009"/>
    <d v="2024-05-12T00:00:00"/>
    <x v="1"/>
    <s v="Valide"/>
    <x v="1"/>
    <x v="1"/>
    <s v="KO"/>
    <x v="0"/>
    <n v="8811839"/>
    <n v="5287103.3999999994"/>
  </r>
  <r>
    <n v="83840209727"/>
    <x v="1"/>
    <n v="77452703322"/>
    <s v="Banque Populaire"/>
    <s v="Centre Affaires Agdal"/>
    <s v="35026/2023/1"/>
    <s v="Renouvellement"/>
    <x v="0"/>
    <n v="0.6"/>
    <d v="2023-11-10T00:00:00"/>
    <d v="2025-05-10T00:00:00"/>
    <s v="Réglé"/>
    <d v="2023-05-03T00:00:00"/>
    <d v="2024-08-02T00:00:00"/>
    <s v="OCTROI"/>
    <s v="Tamwilcom"/>
    <d v="2024-08-16T00:00:00"/>
    <m/>
    <s v="19467/2023/1"/>
    <s v="6898/2024/PO/DRE/CAC/ND"/>
    <n v="8811839"/>
    <n v="5287103.3999999994"/>
    <n v="881183.9"/>
    <d v="2024-08-30T00:00:00"/>
    <x v="0"/>
    <s v="Valide"/>
    <x v="1"/>
    <x v="1"/>
    <s v="OK"/>
    <x v="1"/>
    <n v="1357902"/>
    <n v="814741.2"/>
  </r>
  <r>
    <n v="84161914333"/>
    <x v="1"/>
    <n v="29739899333"/>
    <s v="2M Atlas"/>
    <s v="Centre Affaires Chellah"/>
    <s v="38462/2023/1"/>
    <s v="Mise en place"/>
    <x v="0"/>
    <n v="0.7"/>
    <d v="2023-11-17T00:00:00"/>
    <d v="2025-05-17T00:00:00"/>
    <s v="Pas réglé"/>
    <m/>
    <m/>
    <m/>
    <m/>
    <m/>
    <m/>
    <s v="23345/2023/1"/>
    <s v="6834/2024/PO/DRE/CAC/ND"/>
    <n v="1357902"/>
    <n v="814741.2"/>
    <n v="135790.20000000001"/>
    <d v="2024-09-21T00:00:00"/>
    <x v="0"/>
    <s v="Valide"/>
    <x v="1"/>
    <x v="1"/>
    <s v="OK"/>
    <x v="0"/>
    <n v="3791486"/>
    <n v="2274891.6"/>
  </r>
  <r>
    <n v="41774531446"/>
    <x v="1"/>
    <n v="75577561673"/>
    <s v="OCP Group"/>
    <s v="Centre Affaires Hassan"/>
    <s v="36158/2023/1"/>
    <s v="Renouvellement"/>
    <x v="1"/>
    <n v="0.5"/>
    <d v="2023-02-05T00:00:00"/>
    <d v="2024-08-05T00:00:00"/>
    <s v="Pas réglé"/>
    <m/>
    <m/>
    <m/>
    <m/>
    <m/>
    <m/>
    <s v="19108/2023/1"/>
    <s v="9167/2024/PO/DRE/CAC/ND"/>
    <n v="3791486"/>
    <n v="2274891.6"/>
    <n v="379148.60000000003"/>
    <d v="2024-06-06T00:00:00"/>
    <x v="1"/>
    <s v="Echue"/>
    <x v="1"/>
    <x v="1"/>
    <s v="KO"/>
    <x v="1"/>
    <n v="7782146"/>
    <n v="4669287.5999999996"/>
  </r>
  <r>
    <n v="33962729768"/>
    <x v="1"/>
    <n v="44634807898"/>
    <s v="Ciments du Maroc"/>
    <s v="Centre Affaires Anfa"/>
    <s v="36099/2023/1"/>
    <s v="Renouvellement"/>
    <x v="0"/>
    <n v="0.6"/>
    <d v="2023-01-17T00:00:00"/>
    <d v="2024-07-17T00:00:00"/>
    <s v="Réglé"/>
    <d v="2023-02-17T00:00:00"/>
    <d v="2023-11-14T00:00:00"/>
    <s v="OCTROI"/>
    <s v="Tamwilcom"/>
    <d v="2024-06-02T00:00:00"/>
    <m/>
    <s v="66888/2023/1"/>
    <s v="2661/2024/PO/DRE/CAC/ND"/>
    <n v="7782146"/>
    <n v="4669287.5999999996"/>
    <n v="778214.60000000009"/>
    <d v="2024-09-30T00:00:00"/>
    <x v="0"/>
    <s v="Valide"/>
    <x v="1"/>
    <x v="1"/>
    <s v="OK"/>
    <x v="1"/>
    <n v="8871290"/>
    <n v="5322774"/>
  </r>
  <r>
    <n v="69283259214"/>
    <x v="1"/>
    <n v="37547335349"/>
    <s v="2M Atlas"/>
    <s v="Centre Affaires Chellah"/>
    <s v="31172/2023/1"/>
    <s v="Mise en place"/>
    <x v="1"/>
    <n v="0.6"/>
    <d v="2023-10-08T00:00:00"/>
    <d v="2025-04-08T00:00:00"/>
    <s v="Pas réglé"/>
    <m/>
    <m/>
    <m/>
    <m/>
    <m/>
    <m/>
    <s v="59102/2023/1"/>
    <s v="5032/2024/PO/DRE/CAC/ND"/>
    <n v="8871290"/>
    <n v="5322774"/>
    <n v="887129"/>
    <d v="2024-06-16T00:00:00"/>
    <x v="1"/>
    <s v="Valide"/>
    <x v="1"/>
    <x v="1"/>
    <s v="KO"/>
    <x v="0"/>
    <n v="5305522"/>
    <n v="3183313.1999999997"/>
  </r>
  <r>
    <n v="46632681399"/>
    <x v="1"/>
    <n v="83918702394"/>
    <s v="Managem"/>
    <s v="Centre Affaires Centre Ville"/>
    <s v="32879/2023/1"/>
    <s v="Mise en place"/>
    <x v="0"/>
    <n v="0.6"/>
    <d v="2023-11-03T00:00:00"/>
    <d v="2025-05-03T00:00:00"/>
    <s v="Pas réglé"/>
    <m/>
    <m/>
    <m/>
    <m/>
    <m/>
    <m/>
    <s v="90264/2023/1"/>
    <s v="2144/2024/PO/DRE/CAC/ND"/>
    <n v="5305522"/>
    <n v="3183313.1999999997"/>
    <n v="530552.20000000007"/>
    <d v="2024-07-14T00:00:00"/>
    <x v="0"/>
    <s v="Valide"/>
    <x v="1"/>
    <x v="1"/>
    <s v="OK"/>
    <x v="1"/>
    <n v="8632596"/>
    <n v="5179557.5999999996"/>
  </r>
  <r>
    <n v="23831494803"/>
    <x v="1"/>
    <n v="18646766759"/>
    <s v="BMCE Bank"/>
    <s v="Centre Affaires Palmier"/>
    <s v="41470/2023/1"/>
    <s v="Renouvellement"/>
    <x v="0"/>
    <n v="0.6"/>
    <d v="2023-06-20T00:00:00"/>
    <d v="2024-12-20T00:00:00"/>
    <s v="Réglé"/>
    <d v="2023-10-09T00:00:00"/>
    <d v="2024-06-07T00:00:00"/>
    <s v="DOUNIALI"/>
    <s v="Front"/>
    <d v="2024-01-02T00:00:00"/>
    <m/>
    <s v="35105/2023/1"/>
    <s v="4543/2024/PO/DRE/CAC/ND"/>
    <n v="8632596"/>
    <n v="5179557.5999999996"/>
    <n v="863259.60000000009"/>
    <d v="2024-04-23T00:00:00"/>
    <x v="0"/>
    <s v="Valide"/>
    <x v="1"/>
    <x v="0"/>
    <s v="OK"/>
    <x v="0"/>
    <n v="8467047"/>
    <n v="5080228.2"/>
  </r>
  <r>
    <n v="40335172791"/>
    <x v="1"/>
    <n v="87811472283"/>
    <s v="Maghreb Steel"/>
    <s v="Centre Affaires Palmier"/>
    <s v="26442/2023/1"/>
    <s v="Mise en place"/>
    <x v="0"/>
    <n v="0.7"/>
    <d v="2023-11-29T00:00:00"/>
    <d v="2025-05-29T00:00:00"/>
    <s v="Réglé"/>
    <d v="2023-05-27T00:00:00"/>
    <d v="2024-10-22T00:00:00"/>
    <s v="OCTROI"/>
    <s v="Front"/>
    <d v="2024-11-12T00:00:00"/>
    <m/>
    <s v="93155/2023/1"/>
    <s v="8374/2024/PO/DRE/CAC/ND"/>
    <n v="8467047"/>
    <n v="5080228.2"/>
    <n v="846704.70000000007"/>
    <d v="2024-08-14T00:00:00"/>
    <x v="0"/>
    <s v="Valide"/>
    <x v="1"/>
    <x v="0"/>
    <s v="OK"/>
    <x v="0"/>
    <n v="1748705"/>
    <n v="1049223"/>
  </r>
  <r>
    <n v="29691825549"/>
    <x v="1"/>
    <n v="57699108057"/>
    <s v="Ciments du Maroc"/>
    <s v="Centre Affaires Anfa"/>
    <s v="69527/2023/1"/>
    <s v="Renouvellement"/>
    <x v="1"/>
    <n v="0.6"/>
    <d v="2023-03-09T00:00:00"/>
    <d v="2024-09-09T00:00:00"/>
    <s v="Pas réglé"/>
    <m/>
    <m/>
    <m/>
    <m/>
    <m/>
    <m/>
    <s v="98134/2023/1"/>
    <s v="2754/2024/PO/DRE/CAC/ND"/>
    <n v="1748705"/>
    <n v="1049223"/>
    <n v="174870.5"/>
    <d v="2024-03-30T00:00:00"/>
    <x v="1"/>
    <s v="Valide"/>
    <x v="1"/>
    <x v="1"/>
    <s v="KO"/>
    <x v="0"/>
    <n v="3245984"/>
    <n v="1947590.4"/>
  </r>
  <r>
    <n v="50695865448"/>
    <x v="1"/>
    <n v="68902226425"/>
    <s v="2M Atlas"/>
    <s v="Centre Affaires Hassan"/>
    <s v="24311/2023/1"/>
    <s v="Mise en place"/>
    <x v="0"/>
    <n v="0.6"/>
    <d v="2023-02-13T00:00:00"/>
    <d v="2024-08-13T00:00:00"/>
    <s v="Pas réglé"/>
    <m/>
    <m/>
    <m/>
    <m/>
    <m/>
    <m/>
    <s v="22620/2023/1"/>
    <s v="7220/2024/PO/DRE/CAC/ND"/>
    <n v="3245984"/>
    <n v="1947590.4"/>
    <n v="324598.40000000002"/>
    <d v="2024-04-12T00:00:00"/>
    <x v="0"/>
    <s v="Valide"/>
    <x v="1"/>
    <x v="1"/>
    <s v="OK"/>
    <x v="0"/>
    <n v="8961179"/>
    <n v="5376707.3999999994"/>
  </r>
  <r>
    <n v="91866990032"/>
    <x v="1"/>
    <n v="78829885788"/>
    <s v="Cosumar"/>
    <s v="Centre Affaires Gueliz"/>
    <s v="14829/2023/1"/>
    <s v="Mise en place"/>
    <x v="0"/>
    <n v="0.6"/>
    <d v="2023-07-10T00:00:00"/>
    <d v="2025-01-10T00:00:00"/>
    <s v="Pas réglé"/>
    <m/>
    <m/>
    <m/>
    <m/>
    <m/>
    <m/>
    <s v="14906/2023/1"/>
    <s v="5230/2024/PO/DRE/CAC/ND"/>
    <n v="8961179"/>
    <n v="5376707.3999999994"/>
    <n v="896117.9"/>
    <d v="2024-07-05T00:00:00"/>
    <x v="0"/>
    <s v="Echue"/>
    <x v="1"/>
    <x v="1"/>
    <s v="OK"/>
    <x v="0"/>
    <n v="8322326"/>
    <n v="4993395.5999999996"/>
  </r>
  <r>
    <n v="67956340419"/>
    <x v="1"/>
    <n v="55042640370"/>
    <s v="OCP Group"/>
    <s v="Centre Affaires Boughaz"/>
    <s v="35988/2023/1"/>
    <s v="Mise en place"/>
    <x v="0"/>
    <n v="0.5"/>
    <d v="2023-02-16T00:00:00"/>
    <d v="2024-08-16T00:00:00"/>
    <s v="Pas réglé"/>
    <m/>
    <m/>
    <m/>
    <m/>
    <m/>
    <m/>
    <s v="20210/2023/1"/>
    <s v="9909/2024/PO/DRE/CAC/ND"/>
    <n v="8322326"/>
    <n v="4993395.5999999996"/>
    <n v="832232.60000000009"/>
    <d v="2024-03-11T00:00:00"/>
    <x v="0"/>
    <s v="Valide"/>
    <x v="1"/>
    <x v="1"/>
    <s v="OK"/>
    <x v="0"/>
    <n v="8238586"/>
    <n v="4943151.5999999996"/>
  </r>
  <r>
    <n v="50372038339"/>
    <x v="1"/>
    <n v="51784170707"/>
    <s v="Managem"/>
    <s v="Centre Affaires Chellah"/>
    <s v="38915/2023/1"/>
    <s v="Mise en place"/>
    <x v="1"/>
    <n v="0.6"/>
    <d v="2023-08-06T00:00:00"/>
    <d v="2025-02-06T00:00:00"/>
    <s v="Réglé"/>
    <d v="2023-01-07T00:00:00"/>
    <d v="2024-03-28T00:00:00"/>
    <s v="DOUNIALI"/>
    <s v="Front"/>
    <d v="2024-10-08T00:00:00"/>
    <m/>
    <s v="47394/2023/1"/>
    <s v="6821/2024/PO/DRE/CAC/ND"/>
    <n v="8238586"/>
    <n v="4943151.5999999996"/>
    <n v="823858.60000000009"/>
    <d v="2024-09-19T00:00:00"/>
    <x v="1"/>
    <s v="Valide"/>
    <x v="1"/>
    <x v="1"/>
    <s v="KO"/>
    <x v="1"/>
    <n v="8012403"/>
    <n v="4807441.8"/>
  </r>
  <r>
    <n v="49878880657"/>
    <x v="1"/>
    <n v="29808358608"/>
    <s v="Managem"/>
    <s v="Centre Affaires Hassan"/>
    <s v="43461/2023/1"/>
    <s v="Renouvellement"/>
    <x v="1"/>
    <n v="0.6"/>
    <d v="2023-07-15T00:00:00"/>
    <d v="2025-01-15T00:00:00"/>
    <s v="Réglé"/>
    <d v="2023-01-11T00:00:00"/>
    <d v="2024-01-19T00:00:00"/>
    <s v="DOUNIALI"/>
    <s v="Front"/>
    <d v="2024-03-22T00:00:00"/>
    <m/>
    <s v="93208/2023/1"/>
    <s v="8131/2024/PO/DRE/CAC/ND"/>
    <n v="8012403"/>
    <n v="4807441.8"/>
    <n v="801240.3"/>
    <d v="2024-02-29T00:00:00"/>
    <x v="1"/>
    <s v="Echue"/>
    <x v="1"/>
    <x v="1"/>
    <s v="KO"/>
    <x v="0"/>
    <n v="8503685"/>
    <n v="5102211"/>
  </r>
  <r>
    <n v="15117381013"/>
    <x v="1"/>
    <n v="27828784074"/>
    <s v="Ciments du Maroc"/>
    <s v="Centre Affaires Anfa"/>
    <s v="77052/2023/1"/>
    <s v="Mise en place"/>
    <x v="1"/>
    <n v="0.7"/>
    <d v="2023-11-01T00:00:00"/>
    <d v="2025-05-01T00:00:00"/>
    <s v="Réglé"/>
    <d v="2023-12-24T00:00:00"/>
    <d v="2024-02-22T00:00:00"/>
    <s v="OCTROI"/>
    <s v="Tamwilcom"/>
    <d v="2024-09-29T00:00:00"/>
    <m/>
    <s v="18288/2023/1"/>
    <s v="2382/2024/PO/DRE/CAC/ND"/>
    <n v="8503685"/>
    <n v="5102211"/>
    <n v="850368.5"/>
    <d v="2024-06-09T00:00:00"/>
    <x v="1"/>
    <s v="Echue"/>
    <x v="1"/>
    <x v="0"/>
    <s v="KO"/>
    <x v="1"/>
    <n v="1281728"/>
    <n v="769036.79999999993"/>
  </r>
  <r>
    <n v="11826412466"/>
    <x v="1"/>
    <n v="57479845257"/>
    <s v="OCP Group"/>
    <s v="Centre Affaires Agdal"/>
    <s v="30073/2023/1"/>
    <s v="Renouvellement"/>
    <x v="1"/>
    <n v="0.6"/>
    <d v="2023-05-09T00:00:00"/>
    <d v="2024-11-09T00:00:00"/>
    <s v="Réglé"/>
    <d v="2023-07-09T00:00:00"/>
    <d v="2024-04-15T00:00:00"/>
    <s v="DOUNIALI"/>
    <s v="Tamwilcom"/>
    <d v="2024-02-03T00:00:00"/>
    <m/>
    <s v="50646/2023/1"/>
    <s v="1382/2024/PO/DRE/CAC/ND"/>
    <n v="1281728"/>
    <n v="769036.79999999993"/>
    <n v="128172.8"/>
    <d v="2024-06-26T00:00:00"/>
    <x v="1"/>
    <s v="Echue"/>
    <x v="1"/>
    <x v="0"/>
    <s v="KO"/>
    <x v="1"/>
    <n v="3743782"/>
    <n v="2246269.1999999997"/>
  </r>
  <r>
    <n v="94198844595"/>
    <x v="1"/>
    <n v="71938131064"/>
    <s v="Cosumar"/>
    <s v="Centre Affaires Agdal"/>
    <s v="72436/2023/1"/>
    <s v="Mise en place"/>
    <x v="0"/>
    <n v="0.5"/>
    <d v="2023-03-08T00:00:00"/>
    <d v="2024-09-08T00:00:00"/>
    <s v="Réglé"/>
    <d v="2023-03-26T00:00:00"/>
    <d v="2023-11-14T00:00:00"/>
    <s v="OCTROI"/>
    <s v="Tamwilcom"/>
    <d v="2024-09-21T00:00:00"/>
    <m/>
    <s v="86518/2023/1"/>
    <s v="1099/2024/PO/DRE/CAC/ND"/>
    <n v="3743782"/>
    <n v="2246269.1999999997"/>
    <n v="374378.2"/>
    <d v="2024-06-10T00:00:00"/>
    <x v="0"/>
    <s v="Echue"/>
    <x v="1"/>
    <x v="0"/>
    <s v="OK"/>
    <x v="0"/>
    <n v="7940857"/>
    <n v="4764514.2"/>
  </r>
  <r>
    <n v="98388724240"/>
    <x v="1"/>
    <n v="33277235704"/>
    <s v="Société Générale Maroc"/>
    <s v="Centre Affaires Centre Ville"/>
    <s v="30653/2023/1"/>
    <s v="Mise en place"/>
    <x v="0"/>
    <n v="0.5"/>
    <d v="2023-05-04T00:00:00"/>
    <d v="2024-11-04T00:00:00"/>
    <s v="Réglé"/>
    <d v="2023-09-20T00:00:00"/>
    <d v="2023-05-23T00:00:00"/>
    <s v="DOUNIALI"/>
    <s v="Tamwilcom"/>
    <d v="2024-02-16T00:00:00"/>
    <m/>
    <s v="46433/2023/1"/>
    <s v="4471/2024/PO/DRE/CAC/ND"/>
    <n v="7940857"/>
    <n v="4764514.2"/>
    <n v="794085.70000000007"/>
    <d v="2024-08-29T00:00:00"/>
    <x v="0"/>
    <s v="Echue"/>
    <x v="0"/>
    <x v="0"/>
    <s v="OK"/>
    <x v="1"/>
    <n v="9364516"/>
    <n v="5618709.5999999996"/>
  </r>
  <r>
    <n v="59902126342"/>
    <x v="1"/>
    <n v="26966297709"/>
    <s v="Maroc Telecom"/>
    <s v="Centre Affaires Hassan"/>
    <s v="34362/2023/1"/>
    <s v="Renouvellement"/>
    <x v="0"/>
    <n v="0.6"/>
    <d v="2023-10-18T00:00:00"/>
    <d v="2025-04-18T00:00:00"/>
    <s v="Pas réglé"/>
    <m/>
    <m/>
    <m/>
    <m/>
    <m/>
    <m/>
    <s v="74175/2023/1"/>
    <s v="8010/2024/PO/DRE/CAC/ND"/>
    <n v="9364516"/>
    <n v="5618709.5999999996"/>
    <n v="936451.60000000009"/>
    <d v="2024-05-31T00:00:00"/>
    <x v="0"/>
    <s v="Valide"/>
    <x v="1"/>
    <x v="0"/>
    <s v="OK"/>
    <x v="0"/>
    <n v="9292298"/>
    <n v="5575378.7999999998"/>
  </r>
  <r>
    <n v="10416467165"/>
    <x v="1"/>
    <n v="76962748227"/>
    <s v="Maroc Telecom"/>
    <s v="Centre Affaires Maarif"/>
    <s v="18664/2023/1"/>
    <s v="Renouvellement"/>
    <x v="1"/>
    <n v="0.7"/>
    <d v="2023-06-30T00:00:00"/>
    <d v="2024-12-30T00:00:00"/>
    <s v="Réglé"/>
    <d v="2023-06-23T00:00:00"/>
    <d v="2024-02-04T00:00:00"/>
    <s v="OCTROI"/>
    <s v="Tamwilcom"/>
    <d v="2024-06-05T00:00:00"/>
    <m/>
    <s v="91382/2023/1"/>
    <s v="5963/2024/PO/DRE/CAC/ND"/>
    <n v="9292298"/>
    <n v="5575378.7999999998"/>
    <n v="929229.8"/>
    <d v="2024-05-26T00:00:00"/>
    <x v="1"/>
    <s v="Echue"/>
    <x v="0"/>
    <x v="0"/>
    <s v="KO"/>
    <x v="1"/>
    <n v="4889701"/>
    <n v="2933820.6"/>
  </r>
  <r>
    <n v="86874876746"/>
    <x v="1"/>
    <n v="98905244390"/>
    <s v="OCP Group"/>
    <s v="Centre Affaires Boughaz"/>
    <s v="62184/2023/1"/>
    <s v="Renouvellement"/>
    <x v="0"/>
    <n v="0.6"/>
    <d v="2023-11-27T00:00:00"/>
    <d v="2025-05-27T00:00:00"/>
    <s v="Pas réglé"/>
    <m/>
    <m/>
    <m/>
    <m/>
    <m/>
    <m/>
    <s v="49527/2023/1"/>
    <s v="4993/2024/PO/DRE/CAC/ND"/>
    <n v="4889701"/>
    <n v="2933820.6"/>
    <n v="488970.10000000003"/>
    <d v="2024-11-27T00:00:00"/>
    <x v="0"/>
    <s v="Echue"/>
    <x v="0"/>
    <x v="0"/>
    <s v="OK"/>
    <x v="1"/>
    <n v="7236410"/>
    <n v="4341846"/>
  </r>
  <r>
    <n v="22153796305"/>
    <x v="1"/>
    <n v="76520253972"/>
    <s v="Managem"/>
    <s v="Centre Affaires Palmier"/>
    <s v="22721/2023/1"/>
    <s v="Mise en place"/>
    <x v="1"/>
    <n v="0.5"/>
    <d v="2023-05-09T00:00:00"/>
    <d v="2024-11-09T00:00:00"/>
    <s v="Pas réglé"/>
    <m/>
    <m/>
    <m/>
    <m/>
    <m/>
    <m/>
    <s v="19135/2023/1"/>
    <s v="9081/2024/PO/DRE/CAC/ND"/>
    <n v="7236410"/>
    <n v="4341846"/>
    <n v="723641"/>
    <d v="2024-05-26T00:00:00"/>
    <x v="1"/>
    <s v="Valide"/>
    <x v="1"/>
    <x v="1"/>
    <s v="KO"/>
    <x v="1"/>
    <n v="6777557"/>
    <n v="4066534.1999999997"/>
  </r>
  <r>
    <n v="36508271651"/>
    <x v="1"/>
    <n v="85840459488"/>
    <s v="BMCE Bank"/>
    <s v="Centre Affaires Boughaz"/>
    <s v="27961/2023/1"/>
    <s v="Mise en place"/>
    <x v="0"/>
    <n v="0.5"/>
    <d v="2023-09-12T00:00:00"/>
    <d v="2025-03-12T00:00:00"/>
    <s v="Réglé"/>
    <d v="2023-05-15T00:00:00"/>
    <d v="2024-06-27T00:00:00"/>
    <s v="OCTROI"/>
    <s v="Tamwilcom"/>
    <d v="2024-05-06T00:00:00"/>
    <m/>
    <s v="95954/2023/1"/>
    <s v="8055/2024/PO/DRE/CAC/ND"/>
    <n v="6777557"/>
    <n v="4066534.1999999997"/>
    <n v="677755.70000000007"/>
    <d v="2024-03-25T00:00:00"/>
    <x v="0"/>
    <s v="Valide"/>
    <x v="1"/>
    <x v="1"/>
    <s v="OK"/>
    <x v="1"/>
    <n v="6500595"/>
    <n v="3900357"/>
  </r>
  <r>
    <n v="45452997646"/>
    <x v="1"/>
    <n v="32725101990"/>
    <s v="Société Générale Maroc"/>
    <s v="Centre Affaires Gueliz"/>
    <s v="73163/2023/1"/>
    <s v="Renouvellement"/>
    <x v="1"/>
    <n v="0.6"/>
    <d v="2023-08-15T00:00:00"/>
    <d v="2025-02-15T00:00:00"/>
    <s v="Réglé"/>
    <d v="2023-09-07T00:00:00"/>
    <d v="2023-12-01T00:00:00"/>
    <s v="DOUNIALI"/>
    <s v="Tamwilcom"/>
    <d v="2024-05-11T00:00:00"/>
    <m/>
    <s v="58541/2023/1"/>
    <s v="6162/2024/PO/DRE/CAC/ND"/>
    <n v="6500595"/>
    <n v="3900357"/>
    <n v="650059.5"/>
    <d v="2024-04-06T00:00:00"/>
    <x v="1"/>
    <s v="Echue"/>
    <x v="0"/>
    <x v="0"/>
    <s v="KO"/>
    <x v="1"/>
    <n v="7152041"/>
    <n v="4291224.5999999996"/>
  </r>
  <r>
    <n v="83671659495"/>
    <x v="1"/>
    <n v="45092654137"/>
    <s v="2M Atlas"/>
    <s v="Centre Affaires Hassan"/>
    <s v="90024/2023/1"/>
    <s v="Mise en place"/>
    <x v="1"/>
    <n v="0.7"/>
    <d v="2023-12-19T00:00:00"/>
    <d v="2025-06-19T00:00:00"/>
    <s v="Réglé"/>
    <d v="2023-09-14T00:00:00"/>
    <d v="2024-09-13T00:00:00"/>
    <s v="DOUNIALI"/>
    <s v="Front"/>
    <d v="2024-11-22T00:00:00"/>
    <m/>
    <s v="64342/2023/1"/>
    <s v="4864/2024/PO/DRE/CAC/ND"/>
    <n v="7152041"/>
    <n v="4291224.5999999996"/>
    <n v="715204.10000000009"/>
    <d v="2024-12-01T00:00:00"/>
    <x v="1"/>
    <s v="Valide"/>
    <x v="1"/>
    <x v="1"/>
    <s v="KO"/>
    <x v="1"/>
    <n v="1715224"/>
    <n v="1029134.3999999999"/>
  </r>
  <r>
    <n v="66253269462"/>
    <x v="1"/>
    <n v="43597296542"/>
    <s v="Banque Populaire"/>
    <s v="Centre Affaires Maarif"/>
    <s v="24950/2023/1"/>
    <s v="Mise en place"/>
    <x v="1"/>
    <n v="0.7"/>
    <d v="2023-01-31T00:00:00"/>
    <d v="2024-07-31T00:00:00"/>
    <s v="Réglé"/>
    <d v="2023-11-12T00:00:00"/>
    <d v="2023-05-28T00:00:00"/>
    <s v="DOUNIALI"/>
    <s v="Tamwilcom"/>
    <d v="2024-02-15T00:00:00"/>
    <m/>
    <s v="92600/2023/1"/>
    <s v="4821/2024/PO/DRE/CAC/ND"/>
    <n v="1715224"/>
    <n v="1029134.3999999999"/>
    <n v="171522.40000000002"/>
    <d v="2024-01-19T00:00:00"/>
    <x v="1"/>
    <s v="Echue"/>
    <x v="0"/>
    <x v="0"/>
    <s v="KO"/>
    <x v="1"/>
    <n v="2554407"/>
    <n v="1532644.2"/>
  </r>
  <r>
    <n v="52851704389"/>
    <x v="1"/>
    <n v="53866412547"/>
    <s v="Managem"/>
    <s v="Centre Affaires Anfa"/>
    <s v="49583/2023/1"/>
    <s v="Mise en place"/>
    <x v="1"/>
    <n v="0.6"/>
    <d v="2023-02-17T00:00:00"/>
    <d v="2024-08-17T00:00:00"/>
    <s v="Réglé"/>
    <d v="2023-10-28T00:00:00"/>
    <d v="2023-10-29T00:00:00"/>
    <s v="OCTROI"/>
    <s v="Tamwilcom"/>
    <d v="2024-05-25T00:00:00"/>
    <m/>
    <s v="83857/2023/1"/>
    <s v="9543/2024/PO/DRE/CAC/ND"/>
    <n v="2554407"/>
    <n v="1532644.2"/>
    <n v="255440.7"/>
    <d v="2024-05-08T00:00:00"/>
    <x v="1"/>
    <s v="Valide"/>
    <x v="1"/>
    <x v="0"/>
    <s v="KO"/>
    <x v="0"/>
    <n v="7057252"/>
    <n v="4234351.2"/>
  </r>
  <r>
    <n v="65126670339"/>
    <x v="1"/>
    <n v="75182667220"/>
    <s v="Cosumar"/>
    <s v="Centre Affaires Palmier"/>
    <s v="49455/2023/1"/>
    <s v="Mise en place"/>
    <x v="1"/>
    <n v="0.6"/>
    <d v="2023-01-03T00:00:00"/>
    <d v="2024-07-03T00:00:00"/>
    <s v="Réglé"/>
    <d v="2023-01-07T00:00:00"/>
    <d v="2023-07-12T00:00:00"/>
    <s v="OCTROI"/>
    <s v="Front"/>
    <d v="2024-07-07T00:00:00"/>
    <m/>
    <s v="46516/2023/1"/>
    <s v="9353/2024/PO/DRE/CAC/ND"/>
    <n v="7057252"/>
    <n v="4234351.2"/>
    <n v="705725.20000000007"/>
    <d v="2024-10-14T00:00:00"/>
    <x v="1"/>
    <s v="Echue"/>
    <x v="0"/>
    <x v="0"/>
    <s v="KO"/>
    <x v="0"/>
    <n v="4404526"/>
    <n v="2642715.6"/>
  </r>
  <r>
    <n v="86270586323"/>
    <x v="1"/>
    <n v="62321759460"/>
    <s v="Managem"/>
    <s v="Centre Affaires Centre Ville"/>
    <s v="36105/2023/1"/>
    <s v="Mise en place"/>
    <x v="1"/>
    <n v="0.6"/>
    <d v="2023-04-23T00:00:00"/>
    <d v="2024-10-23T00:00:00"/>
    <s v="Réglé"/>
    <d v="2023-04-14T00:00:00"/>
    <d v="2024-02-20T00:00:00"/>
    <s v="OCTROI"/>
    <s v="Front"/>
    <d v="2024-03-28T00:00:00"/>
    <m/>
    <s v="33474/2023/1"/>
    <s v="5485/2024/PO/DRE/CAC/ND"/>
    <n v="4404526"/>
    <n v="2642715.6"/>
    <n v="440452.60000000003"/>
    <d v="2024-07-08T00:00:00"/>
    <x v="1"/>
    <s v="Valide"/>
    <x v="1"/>
    <x v="0"/>
    <s v="KO"/>
    <x v="1"/>
    <n v="4738987"/>
    <n v="2843392.1999999997"/>
  </r>
  <r>
    <n v="81440362483"/>
    <x v="1"/>
    <n v="12947849979"/>
    <s v="Cosumar"/>
    <s v="Centre Affaires Palmier"/>
    <s v="70968/2023/1"/>
    <s v="Renouvellement"/>
    <x v="0"/>
    <n v="0.6"/>
    <d v="2023-08-11T00:00:00"/>
    <d v="2025-02-11T00:00:00"/>
    <s v="Réglé"/>
    <d v="2023-04-01T00:00:00"/>
    <d v="2023-11-03T00:00:00"/>
    <s v="DOUNIALI"/>
    <s v="Front"/>
    <d v="2024-12-07T00:00:00"/>
    <m/>
    <s v="66967/2023/1"/>
    <s v="9504/2024/PO/DRE/CAC/ND"/>
    <n v="4738987"/>
    <n v="2843392.1999999997"/>
    <n v="473898.7"/>
    <d v="2024-05-14T00:00:00"/>
    <x v="0"/>
    <s v="Echue"/>
    <x v="0"/>
    <x v="0"/>
    <s v="OK"/>
    <x v="0"/>
    <n v="6630185"/>
    <n v="3978111"/>
  </r>
  <r>
    <n v="29482391105"/>
    <x v="1"/>
    <n v="78106009902"/>
    <s v="Maroc Telecom"/>
    <s v="Centre Affaires Gueliz"/>
    <s v="31795/2023/1"/>
    <s v="Mise en place"/>
    <x v="1"/>
    <n v="0.7"/>
    <d v="2023-09-04T00:00:00"/>
    <d v="2025-03-04T00:00:00"/>
    <s v="Réglé"/>
    <d v="2023-10-21T00:00:00"/>
    <d v="2024-08-30T00:00:00"/>
    <s v="OCTROI"/>
    <s v="Front"/>
    <d v="2024-09-22T00:00:00"/>
    <m/>
    <s v="69624/2023/1"/>
    <s v="7939/2024/PO/DRE/CAC/ND"/>
    <n v="6630185"/>
    <n v="3978111"/>
    <n v="663018.5"/>
    <d v="2024-09-14T00:00:00"/>
    <x v="1"/>
    <s v="Valide"/>
    <x v="1"/>
    <x v="0"/>
    <s v="KO"/>
    <x v="0"/>
    <n v="2446729"/>
    <n v="1468037.4"/>
  </r>
  <r>
    <n v="74522575453"/>
    <x v="1"/>
    <n v="57963492480"/>
    <s v="Ciments du Maroc"/>
    <s v="Centre Affaires Gueliz"/>
    <s v="81883/2023/1"/>
    <s v="Renouvellement"/>
    <x v="0"/>
    <n v="0.7"/>
    <d v="2023-10-10T00:00:00"/>
    <d v="2025-04-10T00:00:00"/>
    <s v="Réglé"/>
    <d v="2023-12-25T00:00:00"/>
    <d v="2024-04-12T00:00:00"/>
    <s v="DOUNIALI"/>
    <s v="Tamwilcom"/>
    <d v="2024-11-15T00:00:00"/>
    <m/>
    <s v="70619/2023/1"/>
    <s v="7500/2024/PO/DRE/CAC/ND"/>
    <n v="2446729"/>
    <n v="1468037.4"/>
    <n v="244672.90000000002"/>
    <d v="2024-11-17T00:00:00"/>
    <x v="0"/>
    <s v="Valide"/>
    <x v="1"/>
    <x v="0"/>
    <s v="OK"/>
    <x v="0"/>
    <n v="4541453"/>
    <n v="2724871.8"/>
  </r>
  <r>
    <n v="36654670002"/>
    <x v="1"/>
    <n v="40812499083"/>
    <s v="Maroc Telecom"/>
    <s v="Centre Affaires Boughaz"/>
    <s v="91218/2023/1"/>
    <s v="Mise en place"/>
    <x v="0"/>
    <n v="0.6"/>
    <d v="2023-11-05T00:00:00"/>
    <d v="2025-05-05T00:00:00"/>
    <s v="Réglé"/>
    <d v="2023-08-28T00:00:00"/>
    <d v="2023-11-22T00:00:00"/>
    <s v="DOUNIALI"/>
    <s v="Front"/>
    <d v="2024-12-14T00:00:00"/>
    <m/>
    <s v="20080/2023/1"/>
    <s v="9461/2024/PO/DRE/CAC/ND"/>
    <n v="4541453"/>
    <n v="2724871.8"/>
    <n v="454145.30000000005"/>
    <d v="2024-04-16T00:00:00"/>
    <x v="0"/>
    <s v="Valide"/>
    <x v="1"/>
    <x v="1"/>
    <s v="OK"/>
    <x v="0"/>
    <n v="9539432"/>
    <n v="5723659.2000000002"/>
  </r>
  <r>
    <n v="90615179814"/>
    <x v="1"/>
    <n v="27335877233"/>
    <s v="BMCE Bank"/>
    <s v="Centre Affaires Centre Ville"/>
    <s v="62059/2023/1"/>
    <s v="Renouvellement"/>
    <x v="0"/>
    <n v="0.5"/>
    <d v="2023-06-18T00:00:00"/>
    <d v="2024-12-18T00:00:00"/>
    <s v="Pas réglé"/>
    <m/>
    <m/>
    <m/>
    <m/>
    <m/>
    <m/>
    <s v="18324/2023/1"/>
    <s v="9752/2024/PO/DRE/CAC/ND"/>
    <n v="9539432"/>
    <n v="5723659.2000000002"/>
    <n v="953943.20000000007"/>
    <d v="2024-08-28T00:00:00"/>
    <x v="0"/>
    <s v="Valide"/>
    <x v="1"/>
    <x v="0"/>
    <s v="OK"/>
    <x v="0"/>
    <n v="9582763"/>
    <n v="5749657.7999999998"/>
  </r>
  <r>
    <n v="22831319609"/>
    <x v="1"/>
    <n v="18174753257"/>
    <s v="Maghreb Steel"/>
    <s v="Centre Affaires Agdal"/>
    <s v="95363/2023/1"/>
    <s v="Mise en place"/>
    <x v="1"/>
    <n v="0.6"/>
    <d v="2023-06-26T00:00:00"/>
    <d v="2024-12-26T00:00:00"/>
    <s v="Réglé"/>
    <d v="2023-09-05T00:00:00"/>
    <d v="2024-03-30T00:00:00"/>
    <s v="OCTROI"/>
    <s v="Tamwilcom"/>
    <d v="2024-08-27T00:00:00"/>
    <m/>
    <s v="84362/2023/1"/>
    <s v="7400/2024/PO/DRE/CAC/ND"/>
    <n v="9582763"/>
    <n v="5749657.7999999998"/>
    <n v="958276.3"/>
    <d v="2024-01-04T00:00:00"/>
    <x v="1"/>
    <s v="Valide"/>
    <x v="1"/>
    <x v="0"/>
    <s v="KO"/>
    <x v="1"/>
    <n v="3224127"/>
    <n v="1934476.2"/>
  </r>
  <r>
    <n v="25268698307"/>
    <x v="1"/>
    <n v="17266312660"/>
    <s v="BMCE Bank"/>
    <s v="Centre Affaires Maarif"/>
    <s v="94710/2023/1"/>
    <s v="Renouvellement"/>
    <x v="1"/>
    <n v="0.7"/>
    <d v="2023-10-11T00:00:00"/>
    <d v="2025-04-11T00:00:00"/>
    <s v="Pas réglé"/>
    <m/>
    <m/>
    <m/>
    <m/>
    <m/>
    <m/>
    <s v="60565/2023/1"/>
    <s v="7757/2024/PO/DRE/CAC/ND"/>
    <n v="3224127"/>
    <n v="1934476.2"/>
    <n v="322412.7"/>
    <d v="2024-07-13T00:00:00"/>
    <x v="1"/>
    <s v="Valide"/>
    <x v="1"/>
    <x v="0"/>
    <s v="KO"/>
    <x v="1"/>
    <n v="5765767"/>
    <n v="3459460.1999999997"/>
  </r>
  <r>
    <n v="48821506093"/>
    <x v="1"/>
    <n v="70567073870"/>
    <s v="Maghreb Steel"/>
    <s v="Centre Affaires Gueliz"/>
    <s v="97551/2023/1"/>
    <s v="Renouvellement"/>
    <x v="1"/>
    <n v="0.6"/>
    <d v="2023-07-15T00:00:00"/>
    <d v="2025-01-15T00:00:00"/>
    <s v="Pas réglé"/>
    <m/>
    <m/>
    <m/>
    <m/>
    <m/>
    <m/>
    <s v="14152/2023/1"/>
    <s v="6186/2024/PO/DRE/CAC/ND"/>
    <n v="5765767"/>
    <n v="3459460.1999999997"/>
    <n v="576576.70000000007"/>
    <d v="2024-09-25T00:00:00"/>
    <x v="1"/>
    <s v="Valide"/>
    <x v="1"/>
    <x v="1"/>
    <s v="KO"/>
    <x v="1"/>
    <n v="4823276"/>
    <n v="2893965.6"/>
  </r>
  <r>
    <n v="87898185849"/>
    <x v="1"/>
    <n v="81110807169"/>
    <s v="Maghreb Steel"/>
    <s v="Centre Affaires Maarif"/>
    <s v="38404/2023/1"/>
    <s v="Mise en place"/>
    <x v="1"/>
    <n v="0.6"/>
    <d v="2023-02-02T00:00:00"/>
    <d v="2024-08-02T00:00:00"/>
    <s v="Pas réglé"/>
    <m/>
    <m/>
    <m/>
    <m/>
    <m/>
    <m/>
    <s v="43592/2023/1"/>
    <s v="8767/2024/PO/DRE/CAC/ND"/>
    <n v="4823276"/>
    <n v="2893965.6"/>
    <n v="482327.60000000003"/>
    <d v="2024-01-29T00:00:00"/>
    <x v="1"/>
    <s v="Valide"/>
    <x v="1"/>
    <x v="0"/>
    <s v="KO"/>
    <x v="0"/>
    <n v="2940824"/>
    <n v="1764494.4"/>
  </r>
  <r>
    <n v="85674778679"/>
    <x v="1"/>
    <n v="35339362971"/>
    <s v="Banque Populaire"/>
    <s v="Centre Affaires Centre Ville"/>
    <s v="55575/2023/1"/>
    <s v="Renouvellement"/>
    <x v="0"/>
    <n v="0.6"/>
    <d v="2023-03-17T00:00:00"/>
    <d v="2024-09-17T00:00:00"/>
    <s v="Réglé"/>
    <d v="2023-06-30T00:00:00"/>
    <d v="2023-05-05T00:00:00"/>
    <s v="DOUNIALI"/>
    <s v="Tamwilcom"/>
    <d v="2024-05-21T00:00:00"/>
    <m/>
    <s v="99185/2023/1"/>
    <s v="2186/2024/PO/DRE/CAC/ND"/>
    <n v="2940824"/>
    <n v="1764494.4"/>
    <n v="294082.40000000002"/>
    <d v="2024-03-22T00:00:00"/>
    <x v="0"/>
    <s v="Echue"/>
    <x v="0"/>
    <x v="0"/>
    <s v="OK"/>
    <x v="0"/>
    <n v="5342840"/>
    <n v="3205704"/>
  </r>
  <r>
    <n v="63392348393"/>
    <x v="1"/>
    <n v="47578003043"/>
    <s v="Maghreb Steel"/>
    <s v="Centre Affaires Hivernage"/>
    <s v="43512/2023/1"/>
    <s v="Renouvellement"/>
    <x v="1"/>
    <n v="0.6"/>
    <d v="2023-03-31T00:00:00"/>
    <d v="2024-09-30T00:00:00"/>
    <s v="Réglé"/>
    <d v="2023-11-30T00:00:00"/>
    <d v="2023-12-12T00:00:00"/>
    <s v="OCTROI"/>
    <s v="Tamwilcom"/>
    <d v="2024-03-18T00:00:00"/>
    <m/>
    <s v="92502/2023/1"/>
    <s v="8601/2024/PO/DRE/CAC/ND"/>
    <n v="5342840"/>
    <n v="3205704"/>
    <n v="534284"/>
    <d v="2024-02-21T00:00:00"/>
    <x v="1"/>
    <s v="Echue"/>
    <x v="0"/>
    <x v="0"/>
    <s v="KO"/>
    <x v="0"/>
    <n v="1127103"/>
    <n v="676261.79999999993"/>
  </r>
  <r>
    <n v="81467239643"/>
    <x v="1"/>
    <n v="91097427565"/>
    <s v="2M Atlas"/>
    <s v="Centre Affaires Boughaz"/>
    <s v="25930/2023/1"/>
    <s v="Renouvellement"/>
    <x v="0"/>
    <n v="0.7"/>
    <d v="2023-04-20T00:00:00"/>
    <d v="2024-10-20T00:00:00"/>
    <s v="Réglé"/>
    <d v="2023-11-01T00:00:00"/>
    <d v="2023-05-21T00:00:00"/>
    <s v="DOUNIALI"/>
    <s v="Front"/>
    <d v="2024-03-17T00:00:00"/>
    <m/>
    <s v="73369/2023/1"/>
    <s v="8129/2024/PO/DRE/CAC/ND"/>
    <n v="1127103"/>
    <n v="676261.79999999993"/>
    <n v="112710.3"/>
    <d v="2024-02-05T00:00:00"/>
    <x v="0"/>
    <s v="Valide"/>
    <x v="1"/>
    <x v="1"/>
    <s v="OK"/>
    <x v="0"/>
    <n v="2566387"/>
    <n v="1539832.2"/>
  </r>
  <r>
    <n v="82674244578"/>
    <x v="1"/>
    <n v="22281383795"/>
    <s v="Banque Populaire"/>
    <s v="Centre Affaires Anfa"/>
    <s v="63341/2023/1"/>
    <s v="Renouvellement"/>
    <x v="0"/>
    <n v="0.6"/>
    <d v="2023-08-04T00:00:00"/>
    <d v="2025-02-04T00:00:00"/>
    <s v="Pas réglé"/>
    <m/>
    <m/>
    <m/>
    <m/>
    <m/>
    <m/>
    <s v="44812/2023/1"/>
    <s v="9902/2024/PO/DRE/CAC/ND"/>
    <n v="2566387"/>
    <n v="1539832.2"/>
    <n v="256638.7"/>
    <d v="2024-12-01T00:00:00"/>
    <x v="0"/>
    <s v="Echue"/>
    <x v="0"/>
    <x v="0"/>
    <s v="OK"/>
    <x v="0"/>
    <n v="7291718"/>
    <n v="4375030.8"/>
  </r>
  <r>
    <n v="68670647294"/>
    <x v="1"/>
    <n v="15682989778"/>
    <s v="Managem"/>
    <s v="Centre Affaires Hivernage"/>
    <s v="95780/2023/1"/>
    <s v="Renouvellement"/>
    <x v="0"/>
    <n v="0.6"/>
    <d v="2023-01-02T00:00:00"/>
    <d v="2024-07-02T00:00:00"/>
    <s v="Réglé"/>
    <d v="2023-07-04T00:00:00"/>
    <d v="2023-07-10T00:00:00"/>
    <s v="OCTROI"/>
    <s v="Tamwilcom"/>
    <d v="2024-12-10T00:00:00"/>
    <m/>
    <s v="33589/2023/1"/>
    <s v="6819/2024/PO/DRE/CAC/ND"/>
    <n v="7291718"/>
    <n v="4375030.8"/>
    <n v="729171.8"/>
    <d v="2024-10-03T00:00:00"/>
    <x v="0"/>
    <s v="Valide"/>
    <x v="1"/>
    <x v="1"/>
    <s v="OK"/>
    <x v="0"/>
    <n v="1243980"/>
    <n v="746388"/>
  </r>
  <r>
    <n v="50593759426"/>
    <x v="2"/>
    <n v="28095343671"/>
    <s v="Société Générale Maroc"/>
    <s v="Centre Affaires Maarif"/>
    <s v="76543/2023/1"/>
    <s v="Renouvellement"/>
    <x v="0"/>
    <n v="0.6"/>
    <d v="2023-07-11T00:00:00"/>
    <d v="2025-01-11T00:00:00"/>
    <s v="Réglé"/>
    <d v="2023-06-30T00:00:00"/>
    <d v="2024-02-29T00:00:00"/>
    <s v="OCTROI"/>
    <s v="Front"/>
    <d v="2024-06-09T00:00:00"/>
    <m/>
    <s v="79372/2023/1"/>
    <s v="4482/2024/PO/DRE/CAC/ND"/>
    <n v="1243980"/>
    <n v="746388"/>
    <n v="124398"/>
    <d v="2024-04-16T00:00:00"/>
    <x v="0"/>
    <s v="Valide"/>
    <x v="1"/>
    <x v="0"/>
    <s v="OK"/>
    <x v="0"/>
    <n v="2851476"/>
    <n v="1710885.5999999999"/>
  </r>
  <r>
    <n v="59091155833"/>
    <x v="2"/>
    <n v="19095592294"/>
    <s v="Ciments du Maroc"/>
    <s v="Centre Affaires Gueliz"/>
    <s v="80933/2023/1"/>
    <s v="Renouvellement"/>
    <x v="0"/>
    <n v="0.6"/>
    <d v="2023-07-22T00:00:00"/>
    <d v="2025-01-22T00:00:00"/>
    <s v="Réglé"/>
    <d v="2023-07-11T00:00:00"/>
    <d v="2024-04-20T00:00:00"/>
    <s v="OCTROI"/>
    <s v="Front"/>
    <d v="2024-11-14T00:00:00"/>
    <m/>
    <s v="98639/2023/1"/>
    <s v="1691/2024/PO/DRE/CAC/ND"/>
    <n v="2851476"/>
    <n v="1710885.5999999999"/>
    <n v="285147.60000000003"/>
    <d v="2024-03-10T00:00:00"/>
    <x v="0"/>
    <s v="Echue"/>
    <x v="0"/>
    <x v="0"/>
    <s v="OK"/>
    <x v="0"/>
    <n v="2587221"/>
    <n v="1552332.5999999999"/>
  </r>
  <r>
    <n v="11159015505"/>
    <x v="2"/>
    <n v="35546248357"/>
    <s v="2M Atlas"/>
    <s v="Centre Affaires Agdal"/>
    <s v="10365/2023/1"/>
    <s v="Mise en place"/>
    <x v="1"/>
    <n v="0.6"/>
    <d v="2023-06-10T00:00:00"/>
    <d v="2024-12-10T00:00:00"/>
    <s v="Pas réglé"/>
    <m/>
    <m/>
    <m/>
    <m/>
    <m/>
    <m/>
    <s v="23963/2023/1"/>
    <s v="4618/2024/PO/DRE/CAC/ND"/>
    <n v="2587221"/>
    <n v="1552332.5999999999"/>
    <n v="258722.1"/>
    <d v="2024-03-24T00:00:00"/>
    <x v="1"/>
    <s v="Echue"/>
    <x v="0"/>
    <x v="0"/>
    <s v="KO"/>
    <x v="0"/>
    <n v="3584779"/>
    <n v="2150867.4"/>
  </r>
  <r>
    <n v="87796678751"/>
    <x v="2"/>
    <n v="38614966344"/>
    <s v="Ciments du Maroc"/>
    <s v="Centre Affaires Hivernage"/>
    <s v="23152/2023/1"/>
    <s v="Mise en place"/>
    <x v="1"/>
    <n v="0.6"/>
    <d v="2023-08-10T00:00:00"/>
    <d v="2025-02-10T00:00:00"/>
    <s v="Réglé"/>
    <d v="2023-10-25T00:00:00"/>
    <d v="2024-07-26T00:00:00"/>
    <s v="OCTROI"/>
    <s v="Front"/>
    <d v="2024-11-24T00:00:00"/>
    <m/>
    <s v="72746/2023/1"/>
    <s v="9192/2024/PO/DRE/CAC/ND"/>
    <n v="3584779"/>
    <n v="2150867.4"/>
    <n v="358477.9"/>
    <d v="2024-10-23T00:00:00"/>
    <x v="1"/>
    <s v="Echue"/>
    <x v="0"/>
    <x v="0"/>
    <s v="KO"/>
    <x v="0"/>
    <n v="9554913"/>
    <n v="5732947.7999999998"/>
  </r>
  <r>
    <n v="18676770444"/>
    <x v="2"/>
    <n v="30413380883"/>
    <s v="Cosumar"/>
    <s v="Centre Affaires Gueliz"/>
    <s v="72724/2023/1"/>
    <s v="Mise en place"/>
    <x v="0"/>
    <n v="0.6"/>
    <d v="2023-09-20T00:00:00"/>
    <d v="2025-03-20T00:00:00"/>
    <s v="Réglé"/>
    <d v="2023-10-04T00:00:00"/>
    <d v="2024-06-25T00:00:00"/>
    <s v="OCTROI"/>
    <s v="Front"/>
    <d v="2024-09-18T00:00:00"/>
    <m/>
    <s v="22124/2023/1"/>
    <s v="5457/2024/PO/DRE/CAC/ND"/>
    <n v="9554913"/>
    <n v="5732947.7999999998"/>
    <n v="955491.3"/>
    <d v="2024-10-13T00:00:00"/>
    <x v="0"/>
    <s v="Echue"/>
    <x v="0"/>
    <x v="1"/>
    <s v="OK"/>
    <x v="1"/>
    <n v="6267765"/>
    <n v="3760659"/>
  </r>
  <r>
    <n v="55349110991"/>
    <x v="2"/>
    <n v="61727950664"/>
    <s v="Banque Populaire"/>
    <s v="Centre Affaires Boughaz"/>
    <s v="11017/2023/1"/>
    <s v="Mise en place"/>
    <x v="0"/>
    <n v="0.5"/>
    <d v="2023-04-05T00:00:00"/>
    <d v="2024-10-05T00:00:00"/>
    <s v="Pas réglé"/>
    <m/>
    <m/>
    <m/>
    <m/>
    <m/>
    <m/>
    <s v="30091/2023/1"/>
    <s v="5172/2024/PO/DRE/CAC/ND"/>
    <n v="6267765"/>
    <n v="3760659"/>
    <n v="626776.5"/>
    <d v="2024-08-20T00:00:00"/>
    <x v="0"/>
    <s v="Valide"/>
    <x v="1"/>
    <x v="1"/>
    <s v="OK"/>
    <x v="1"/>
    <n v="6116162"/>
    <n v="3669697.1999999997"/>
  </r>
  <r>
    <n v="15099600756"/>
    <x v="2"/>
    <n v="97651417698"/>
    <s v="Maroc Telecom"/>
    <s v="Centre Affaires Boughaz"/>
    <s v="69071/2023/1"/>
    <s v="Mise en place"/>
    <x v="0"/>
    <n v="0.6"/>
    <d v="2023-12-18T00:00:00"/>
    <d v="2025-06-18T00:00:00"/>
    <s v="Pas réglé"/>
    <m/>
    <m/>
    <m/>
    <m/>
    <m/>
    <m/>
    <s v="43121/2023/1"/>
    <s v="8843/2024/PO/DRE/CAC/ND"/>
    <n v="6116162"/>
    <n v="3669697.1999999997"/>
    <n v="611616.20000000007"/>
    <d v="2024-11-18T00:00:00"/>
    <x v="0"/>
    <s v="Valide"/>
    <x v="1"/>
    <x v="0"/>
    <s v="OK"/>
    <x v="0"/>
    <n v="3186835"/>
    <n v="1912101"/>
  </r>
  <r>
    <n v="33656984269"/>
    <x v="2"/>
    <n v="40342685960"/>
    <s v="Managem"/>
    <s v="Centre Affaires Maarif"/>
    <s v="88872/2023/1"/>
    <s v="Renouvellement"/>
    <x v="1"/>
    <n v="0.6"/>
    <d v="2023-03-25T00:00:00"/>
    <d v="2024-09-25T00:00:00"/>
    <s v="Réglé"/>
    <d v="2023-05-31T00:00:00"/>
    <d v="2024-02-20T00:00:00"/>
    <s v="DOUNIALI"/>
    <s v="Tamwilcom"/>
    <d v="2024-08-20T00:00:00"/>
    <m/>
    <s v="40758/2023/1"/>
    <s v="3729/2024/PO/DRE/CAC/ND"/>
    <n v="3186835"/>
    <n v="1912101"/>
    <n v="318683.5"/>
    <d v="2024-05-28T00:00:00"/>
    <x v="1"/>
    <s v="Valide"/>
    <x v="1"/>
    <x v="0"/>
    <s v="KO"/>
    <x v="1"/>
    <n v="6579304"/>
    <n v="3947582.4"/>
  </r>
  <r>
    <n v="87137834129"/>
    <x v="2"/>
    <n v="97237704104"/>
    <s v="Société Générale Maroc"/>
    <s v="Centre Affaires Boughaz"/>
    <s v="10713/2023/1"/>
    <s v="Renouvellement"/>
    <x v="0"/>
    <n v="0.7"/>
    <d v="2023-03-15T00:00:00"/>
    <d v="2024-09-15T00:00:00"/>
    <s v="Réglé"/>
    <d v="2023-06-26T00:00:00"/>
    <d v="2023-06-22T00:00:00"/>
    <s v="DOUNIALI"/>
    <s v="Tamwilcom"/>
    <d v="2024-05-08T00:00:00"/>
    <m/>
    <s v="56944/2023/1"/>
    <s v="8833/2024/PO/DRE/CAC/ND"/>
    <n v="6579304"/>
    <n v="3947582.4"/>
    <n v="657930.4"/>
    <d v="2024-03-30T00:00:00"/>
    <x v="0"/>
    <s v="Echue"/>
    <x v="0"/>
    <x v="0"/>
    <s v="OK"/>
    <x v="1"/>
    <n v="1614212"/>
    <n v="968527.2"/>
  </r>
  <r>
    <n v="68299446976"/>
    <x v="2"/>
    <n v="41127894653"/>
    <s v="2M Atlas"/>
    <s v="Centre Affaires Boughaz"/>
    <s v="25029/2023/1"/>
    <s v="Renouvellement"/>
    <x v="0"/>
    <n v="0.6"/>
    <d v="2023-11-11T00:00:00"/>
    <d v="2025-05-11T00:00:00"/>
    <s v="Réglé"/>
    <d v="2023-08-20T00:00:00"/>
    <d v="2023-12-24T00:00:00"/>
    <s v="DOUNIALI"/>
    <s v="Front"/>
    <d v="2024-06-21T00:00:00"/>
    <m/>
    <s v="66397/2023/1"/>
    <s v="6484/2024/PO/DRE/CAC/ND"/>
    <n v="1614212"/>
    <n v="968527.2"/>
    <n v="161421.20000000001"/>
    <d v="2024-09-15T00:00:00"/>
    <x v="0"/>
    <s v="Echue"/>
    <x v="0"/>
    <x v="1"/>
    <s v="OK"/>
    <x v="0"/>
    <n v="7752058"/>
    <n v="4651234.8"/>
  </r>
  <r>
    <n v="44013558778"/>
    <x v="2"/>
    <n v="62643572745"/>
    <s v="Ciments du Maroc"/>
    <s v="Centre Affaires Palmier"/>
    <s v="86301/2023/1"/>
    <s v="Mise en place"/>
    <x v="1"/>
    <n v="0.6"/>
    <d v="2023-10-02T00:00:00"/>
    <d v="2025-04-02T00:00:00"/>
    <s v="Pas réglé"/>
    <m/>
    <m/>
    <m/>
    <m/>
    <m/>
    <m/>
    <s v="55806/2023/1"/>
    <s v="8696/2024/PO/DRE/CAC/ND"/>
    <n v="7752058"/>
    <n v="4651234.8"/>
    <n v="775205.8"/>
    <d v="2024-05-10T00:00:00"/>
    <x v="1"/>
    <s v="Valide"/>
    <x v="1"/>
    <x v="0"/>
    <s v="KO"/>
    <x v="1"/>
    <n v="6951202"/>
    <n v="4170721.1999999997"/>
  </r>
  <r>
    <n v="26013866613"/>
    <x v="2"/>
    <n v="21130398743"/>
    <s v="OCP Group"/>
    <s v="Centre Affaires Anfa"/>
    <s v="73792/2023/1"/>
    <s v="Mise en place"/>
    <x v="0"/>
    <n v="0.6"/>
    <d v="2023-05-01T00:00:00"/>
    <d v="2024-11-01T00:00:00"/>
    <s v="Réglé"/>
    <d v="2023-06-10T00:00:00"/>
    <d v="2024-04-27T00:00:00"/>
    <s v="OCTROI"/>
    <s v="Tamwilcom"/>
    <d v="2024-08-16T00:00:00"/>
    <m/>
    <s v="92193/2023/1"/>
    <s v="6130/2024/PO/DRE/CAC/ND"/>
    <n v="6951202"/>
    <n v="4170721.1999999997"/>
    <n v="695120.20000000007"/>
    <d v="2024-08-31T00:00:00"/>
    <x v="0"/>
    <s v="Echue"/>
    <x v="0"/>
    <x v="0"/>
    <s v="OK"/>
    <x v="0"/>
    <n v="9331266"/>
    <n v="5598759.5999999996"/>
  </r>
  <r>
    <n v="64505135682"/>
    <x v="2"/>
    <n v="98955657358"/>
    <s v="2M Atlas"/>
    <s v="Centre Affaires Anfa"/>
    <s v="62549/2023/1"/>
    <s v="Renouvellement"/>
    <x v="1"/>
    <n v="0.6"/>
    <d v="2023-05-14T00:00:00"/>
    <d v="2024-11-14T00:00:00"/>
    <s v="Réglé"/>
    <d v="2023-07-28T00:00:00"/>
    <d v="2023-06-16T00:00:00"/>
    <s v="DOUNIALI"/>
    <s v="Tamwilcom"/>
    <d v="2024-10-16T00:00:00"/>
    <m/>
    <s v="13164/2023/1"/>
    <s v="8352/2024/PO/DRE/CAC/ND"/>
    <n v="9331266"/>
    <n v="5598759.5999999996"/>
    <n v="933126.60000000009"/>
    <d v="2024-11-30T00:00:00"/>
    <x v="1"/>
    <s v="Valide"/>
    <x v="1"/>
    <x v="0"/>
    <s v="KO"/>
    <x v="0"/>
    <n v="6072496"/>
    <n v="3643497.6"/>
  </r>
  <r>
    <n v="59964610561"/>
    <x v="2"/>
    <n v="14273636562"/>
    <s v="BMCE Bank"/>
    <s v="Centre Affaires Chellah"/>
    <s v="76414/2023/1"/>
    <s v="Renouvellement"/>
    <x v="0"/>
    <n v="0.6"/>
    <d v="2023-04-08T00:00:00"/>
    <d v="2024-10-08T00:00:00"/>
    <s v="Réglé"/>
    <d v="2023-09-27T00:00:00"/>
    <d v="2023-12-20T00:00:00"/>
    <s v="DOUNIALI"/>
    <s v="Tamwilcom"/>
    <d v="2024-03-23T00:00:00"/>
    <m/>
    <s v="90535/2023/1"/>
    <s v="3389/2024/PO/DRE/CAC/ND"/>
    <n v="6072496"/>
    <n v="3643497.6"/>
    <n v="607249.6"/>
    <d v="2024-04-18T00:00:00"/>
    <x v="0"/>
    <s v="Echue"/>
    <x v="0"/>
    <x v="1"/>
    <s v="OK"/>
    <x v="1"/>
    <n v="1139581"/>
    <n v="683748.6"/>
  </r>
  <r>
    <n v="29062372615"/>
    <x v="2"/>
    <n v="36470532183"/>
    <s v="OCP Group"/>
    <s v="Centre Affaires Palmier"/>
    <s v="84758/2023/1"/>
    <s v="Mise en place"/>
    <x v="0"/>
    <n v="0.7"/>
    <d v="2023-12-19T00:00:00"/>
    <d v="2025-06-19T00:00:00"/>
    <s v="Pas réglé"/>
    <m/>
    <m/>
    <m/>
    <m/>
    <m/>
    <m/>
    <s v="69279/2023/1"/>
    <s v="8673/2024/PO/DRE/CAC/ND"/>
    <n v="1139581"/>
    <n v="683748.6"/>
    <n v="113958.1"/>
    <d v="2024-04-01T00:00:00"/>
    <x v="0"/>
    <s v="Echue"/>
    <x v="0"/>
    <x v="0"/>
    <s v="OK"/>
    <x v="0"/>
    <n v="9879357"/>
    <n v="5927614.2000000002"/>
  </r>
  <r>
    <n v="17911198804"/>
    <x v="2"/>
    <n v="90212591600"/>
    <s v="Cosumar"/>
    <s v="Centre Affaires Hassan"/>
    <s v="36373/2023/1"/>
    <s v="Renouvellement"/>
    <x v="1"/>
    <n v="0.7"/>
    <d v="2023-10-28T00:00:00"/>
    <d v="2025-04-28T00:00:00"/>
    <s v="Réglé"/>
    <d v="2023-10-17T00:00:00"/>
    <d v="2024-03-10T00:00:00"/>
    <s v="OCTROI"/>
    <s v="Front"/>
    <d v="2024-03-19T00:00:00"/>
    <m/>
    <s v="32945/2023/1"/>
    <s v="7540/2024/PO/DRE/CAC/ND"/>
    <n v="9879357"/>
    <n v="5927614.2000000002"/>
    <n v="987935.70000000007"/>
    <d v="2024-07-20T00:00:00"/>
    <x v="1"/>
    <s v="Echue"/>
    <x v="0"/>
    <x v="1"/>
    <s v="KO"/>
    <x v="1"/>
    <n v="5909920"/>
    <n v="3545952"/>
  </r>
  <r>
    <n v="76448087285"/>
    <x v="2"/>
    <n v="63184118880"/>
    <s v="Société Générale Maroc"/>
    <s v="Centre Affaires Agdal"/>
    <s v="98993/2023/1"/>
    <s v="Renouvellement"/>
    <x v="1"/>
    <n v="0.6"/>
    <d v="2023-02-22T00:00:00"/>
    <d v="2024-08-22T00:00:00"/>
    <s v="Pas réglé"/>
    <m/>
    <m/>
    <m/>
    <m/>
    <m/>
    <m/>
    <s v="63631/2023/1"/>
    <s v="1598/2024/PO/DRE/CAC/ND"/>
    <n v="5909920"/>
    <n v="3545952"/>
    <n v="590992"/>
    <d v="2024-01-14T00:00:00"/>
    <x v="1"/>
    <s v="Valide"/>
    <x v="1"/>
    <x v="1"/>
    <s v="KO"/>
    <x v="1"/>
    <n v="6713885"/>
    <n v="4028331"/>
  </r>
  <r>
    <n v="31437196598"/>
    <x v="2"/>
    <n v="16809166189"/>
    <s v="Maroc Telecom"/>
    <s v="Centre Affaires Agdal"/>
    <s v="27602/2023/1"/>
    <s v="Mise en place"/>
    <x v="1"/>
    <n v="0.7"/>
    <d v="2023-04-02T00:00:00"/>
    <d v="2024-10-02T00:00:00"/>
    <s v="Réglé"/>
    <d v="2023-06-25T00:00:00"/>
    <d v="2023-12-29T00:00:00"/>
    <s v="OCTROI"/>
    <s v="Front"/>
    <d v="2024-02-16T00:00:00"/>
    <m/>
    <s v="97680/2023/1"/>
    <s v="5137/2024/PO/DRE/CAC/ND"/>
    <n v="6713885"/>
    <n v="4028331"/>
    <n v="671388.5"/>
    <d v="2024-07-30T00:00:00"/>
    <x v="1"/>
    <s v="Valide"/>
    <x v="1"/>
    <x v="0"/>
    <s v="KO"/>
    <x v="0"/>
    <n v="3891325"/>
    <n v="2334795"/>
  </r>
  <r>
    <n v="85976074010"/>
    <x v="2"/>
    <n v="11525527705"/>
    <s v="Banque Populaire"/>
    <s v="Centre Affaires Agdal"/>
    <s v="62607/2023/1"/>
    <s v="Renouvellement"/>
    <x v="1"/>
    <n v="0.6"/>
    <d v="2023-01-13T00:00:00"/>
    <d v="2024-07-13T00:00:00"/>
    <s v="Pas réglé"/>
    <m/>
    <m/>
    <m/>
    <m/>
    <m/>
    <m/>
    <s v="15126/2023/1"/>
    <s v="9325/2024/PO/DRE/CAC/ND"/>
    <n v="3891325"/>
    <n v="2334795"/>
    <n v="389132.5"/>
    <d v="2024-12-23T00:00:00"/>
    <x v="1"/>
    <s v="Valide"/>
    <x v="1"/>
    <x v="1"/>
    <s v="KO"/>
    <x v="1"/>
    <n v="1979927"/>
    <n v="1187956.2"/>
  </r>
  <r>
    <n v="67215980781"/>
    <x v="2"/>
    <n v="84675798245"/>
    <s v="Banque Populaire"/>
    <s v="Centre Affaires Hivernage"/>
    <s v="90862/2023/1"/>
    <s v="Mise en place"/>
    <x v="1"/>
    <n v="0.7"/>
    <d v="2023-02-06T00:00:00"/>
    <d v="2024-08-06T00:00:00"/>
    <s v="Pas réglé"/>
    <m/>
    <m/>
    <m/>
    <m/>
    <m/>
    <m/>
    <s v="39707/2023/1"/>
    <s v="4565/2024/PO/DRE/CAC/ND"/>
    <n v="1979927"/>
    <n v="1187956.2"/>
    <n v="197992.7"/>
    <d v="2024-07-30T00:00:00"/>
    <x v="1"/>
    <s v="Valide"/>
    <x v="1"/>
    <x v="1"/>
    <s v="KO"/>
    <x v="0"/>
    <n v="6673115"/>
    <n v="4003869"/>
  </r>
  <r>
    <n v="64061015189"/>
    <x v="2"/>
    <n v="69898928952"/>
    <s v="BMCE Bank"/>
    <s v="Centre Affaires Palmier"/>
    <s v="78682/2023/1"/>
    <s v="Renouvellement"/>
    <x v="1"/>
    <n v="0.6"/>
    <d v="2023-07-31T00:00:00"/>
    <d v="2025-01-31T00:00:00"/>
    <s v="Réglé"/>
    <d v="2023-05-16T00:00:00"/>
    <d v="2024-03-01T00:00:00"/>
    <s v="OCTROI"/>
    <s v="Tamwilcom"/>
    <d v="2024-01-26T00:00:00"/>
    <m/>
    <s v="13240/2023/1"/>
    <s v="3042/2024/PO/DRE/CAC/ND"/>
    <n v="6673115"/>
    <n v="4003869"/>
    <n v="667311.5"/>
    <d v="2024-12-22T00:00:00"/>
    <x v="1"/>
    <s v="Valide"/>
    <x v="1"/>
    <x v="0"/>
    <s v="KO"/>
    <x v="1"/>
    <n v="8361015"/>
    <n v="5016609"/>
  </r>
  <r>
    <n v="75979972725"/>
    <x v="2"/>
    <n v="83679210521"/>
    <s v="BMCE Bank"/>
    <s v="Centre Affaires Gueliz"/>
    <s v="50024/2023/1"/>
    <s v="Mise en place"/>
    <x v="1"/>
    <n v="0.6"/>
    <d v="2023-02-09T00:00:00"/>
    <d v="2024-08-09T00:00:00"/>
    <s v="Réglé"/>
    <d v="2023-01-07T00:00:00"/>
    <d v="2023-03-05T00:00:00"/>
    <s v="OCTROI"/>
    <s v="Tamwilcom"/>
    <d v="2024-10-29T00:00:00"/>
    <m/>
    <s v="83407/2023/1"/>
    <s v="1024/2024/PO/DRE/CAC/ND"/>
    <n v="8361015"/>
    <n v="5016609"/>
    <n v="836101.5"/>
    <d v="2024-05-03T00:00:00"/>
    <x v="1"/>
    <s v="Echue"/>
    <x v="0"/>
    <x v="0"/>
    <s v="KO"/>
    <x v="1"/>
    <n v="7753436"/>
    <n v="4652061.5999999996"/>
  </r>
  <r>
    <n v="69499410542"/>
    <x v="2"/>
    <n v="45010114278"/>
    <s v="Cosumar"/>
    <s v="Centre Affaires Centre Ville"/>
    <s v="81196/2023/1"/>
    <s v="Mise en place"/>
    <x v="0"/>
    <n v="0.7"/>
    <d v="2023-05-26T00:00:00"/>
    <d v="2024-11-26T00:00:00"/>
    <s v="Pas réglé"/>
    <m/>
    <m/>
    <m/>
    <m/>
    <m/>
    <m/>
    <s v="76318/2023/1"/>
    <s v="3718/2024/PO/DRE/CAC/ND"/>
    <n v="7753436"/>
    <n v="4652061.5999999996"/>
    <n v="775343.60000000009"/>
    <d v="2024-04-13T00:00:00"/>
    <x v="0"/>
    <s v="Valide"/>
    <x v="1"/>
    <x v="1"/>
    <s v="OK"/>
    <x v="1"/>
    <n v="1411028"/>
    <n v="846616.79999999993"/>
  </r>
  <r>
    <n v="81631435041"/>
    <x v="2"/>
    <n v="36162034301"/>
    <s v="2M Atlas"/>
    <s v="Centre Affaires Maarif"/>
    <s v="80263/2023/1"/>
    <s v="Mise en place"/>
    <x v="0"/>
    <n v="0.6"/>
    <d v="2023-07-02T00:00:00"/>
    <d v="2025-01-02T00:00:00"/>
    <s v="Pas réglé"/>
    <m/>
    <m/>
    <m/>
    <m/>
    <m/>
    <m/>
    <s v="64834/2023/1"/>
    <s v="3423/2024/PO/DRE/CAC/ND"/>
    <n v="1411028"/>
    <n v="846616.79999999993"/>
    <n v="141102.80000000002"/>
    <d v="2024-06-29T00:00:00"/>
    <x v="0"/>
    <s v="Valide"/>
    <x v="1"/>
    <x v="0"/>
    <s v="OK"/>
    <x v="1"/>
    <n v="8930982"/>
    <n v="5358589.2"/>
  </r>
  <r>
    <n v="56144684129"/>
    <x v="2"/>
    <n v="40539599832"/>
    <s v="BMCE Bank"/>
    <s v="Centre Affaires Palmier"/>
    <s v="65987/2023/1"/>
    <s v="Renouvellement"/>
    <x v="1"/>
    <n v="0.7"/>
    <d v="2023-06-05T00:00:00"/>
    <d v="2024-12-05T00:00:00"/>
    <s v="Pas réglé"/>
    <m/>
    <m/>
    <m/>
    <m/>
    <m/>
    <m/>
    <s v="81383/2023/1"/>
    <s v="2640/2024/PO/DRE/CAC/ND"/>
    <n v="8930982"/>
    <n v="5358589.2"/>
    <n v="893098.20000000007"/>
    <d v="2024-03-12T00:00:00"/>
    <x v="1"/>
    <s v="Echue"/>
    <x v="0"/>
    <x v="0"/>
    <s v="KO"/>
    <x v="1"/>
    <n v="7168738"/>
    <n v="4301242.8"/>
  </r>
  <r>
    <n v="73913439204"/>
    <x v="2"/>
    <n v="98290091927"/>
    <s v="Cosumar"/>
    <s v="Centre Affaires Anfa"/>
    <s v="93640/2023/1"/>
    <s v="Mise en place"/>
    <x v="1"/>
    <n v="0.6"/>
    <d v="2023-07-20T00:00:00"/>
    <d v="2025-01-20T00:00:00"/>
    <s v="Réglé"/>
    <d v="2023-11-02T00:00:00"/>
    <d v="2023-09-02T00:00:00"/>
    <s v="OCTROI"/>
    <s v="Tamwilcom"/>
    <d v="2024-12-20T00:00:00"/>
    <m/>
    <s v="76185/2023/1"/>
    <s v="2416/2024/PO/DRE/CAC/ND"/>
    <n v="7168738"/>
    <n v="4301242.8"/>
    <n v="716873.8"/>
    <d v="2024-09-06T00:00:00"/>
    <x v="1"/>
    <s v="Valide"/>
    <x v="1"/>
    <x v="0"/>
    <s v="KO"/>
    <x v="0"/>
    <n v="4362247"/>
    <n v="2617348.1999999997"/>
  </r>
  <r>
    <n v="41058088598"/>
    <x v="2"/>
    <n v="86793401882"/>
    <s v="BMCE Bank"/>
    <s v="Centre Affaires Hassan"/>
    <s v="22179/2023/1"/>
    <s v="Mise en place"/>
    <x v="1"/>
    <n v="0.6"/>
    <d v="2023-04-27T00:00:00"/>
    <d v="2024-10-27T00:00:00"/>
    <s v="Réglé"/>
    <d v="2023-01-06T00:00:00"/>
    <d v="2023-07-31T00:00:00"/>
    <s v="OCTROI"/>
    <s v="Front"/>
    <d v="2024-12-20T00:00:00"/>
    <m/>
    <s v="50583/2023/1"/>
    <s v="6914/2024/PO/DRE/CAC/ND"/>
    <n v="4362247"/>
    <n v="2617348.1999999997"/>
    <n v="436224.7"/>
    <d v="2024-09-15T00:00:00"/>
    <x v="1"/>
    <s v="Valide"/>
    <x v="1"/>
    <x v="0"/>
    <s v="KO"/>
    <x v="0"/>
    <n v="9488925"/>
    <n v="5693355"/>
  </r>
  <r>
    <n v="91417573901"/>
    <x v="2"/>
    <n v="73651522660"/>
    <s v="Managem"/>
    <s v="Centre Affaires Chellah"/>
    <s v="18783/2023/1"/>
    <s v="Renouvellement"/>
    <x v="0"/>
    <n v="0.5"/>
    <d v="2023-08-19T00:00:00"/>
    <d v="2025-02-19T00:00:00"/>
    <s v="Pas réglé"/>
    <m/>
    <m/>
    <m/>
    <m/>
    <m/>
    <m/>
    <s v="96637/2023/1"/>
    <s v="8651/2024/PO/DRE/CAC/ND"/>
    <n v="9488925"/>
    <n v="5693355"/>
    <n v="948892.5"/>
    <d v="2024-09-15T00:00:00"/>
    <x v="0"/>
    <s v="Echue"/>
    <x v="0"/>
    <x v="1"/>
    <s v="OK"/>
    <x v="0"/>
    <n v="9698711"/>
    <n v="5819226.5999999996"/>
  </r>
  <r>
    <n v="27009664778"/>
    <x v="2"/>
    <n v="76150741397"/>
    <s v="2M Atlas"/>
    <s v="Centre Affaires Anfa"/>
    <s v="43203/2023/1"/>
    <s v="Renouvellement"/>
    <x v="1"/>
    <n v="0.6"/>
    <d v="2023-08-15T00:00:00"/>
    <d v="2025-02-15T00:00:00"/>
    <s v="Réglé"/>
    <d v="2023-03-25T00:00:00"/>
    <d v="2023-09-28T00:00:00"/>
    <s v="DOUNIALI"/>
    <s v="Tamwilcom"/>
    <d v="2024-11-04T00:00:00"/>
    <m/>
    <s v="47323/2023/1"/>
    <s v="9964/2024/PO/DRE/CAC/ND"/>
    <n v="9698711"/>
    <n v="5819226.5999999996"/>
    <n v="969871.10000000009"/>
    <d v="2024-03-05T00:00:00"/>
    <x v="1"/>
    <s v="Valide"/>
    <x v="1"/>
    <x v="1"/>
    <s v="KO"/>
    <x v="1"/>
    <n v="2044334"/>
    <n v="1226600.3999999999"/>
  </r>
  <r>
    <n v="43372224814"/>
    <x v="2"/>
    <n v="90727278917"/>
    <s v="Maghreb Steel"/>
    <s v="Centre Affaires Maarif"/>
    <s v="14176/2023/1"/>
    <s v="Mise en place"/>
    <x v="1"/>
    <n v="0.5"/>
    <d v="2023-07-22T00:00:00"/>
    <d v="2025-01-22T00:00:00"/>
    <s v="Pas réglé"/>
    <m/>
    <m/>
    <m/>
    <m/>
    <m/>
    <m/>
    <s v="43710/2023/1"/>
    <s v="9911/2024/PO/DRE/CAC/ND"/>
    <n v="2044334"/>
    <n v="1226600.3999999999"/>
    <n v="204433.40000000002"/>
    <d v="2024-06-04T00:00:00"/>
    <x v="1"/>
    <s v="Valide"/>
    <x v="1"/>
    <x v="1"/>
    <s v="KO"/>
    <x v="0"/>
    <n v="3846230"/>
    <n v="2307738"/>
  </r>
  <r>
    <n v="51147135309"/>
    <x v="2"/>
    <n v="98328291903"/>
    <s v="Cosumar"/>
    <s v="Centre Affaires Agdal"/>
    <s v="21183/2023/1"/>
    <s v="Mise en place"/>
    <x v="1"/>
    <n v="0.6"/>
    <d v="2023-04-10T00:00:00"/>
    <d v="2024-10-10T00:00:00"/>
    <s v="Réglé"/>
    <d v="2023-10-22T00:00:00"/>
    <d v="2023-11-28T00:00:00"/>
    <s v="OCTROI"/>
    <s v="Tamwilcom"/>
    <d v="2024-12-21T00:00:00"/>
    <m/>
    <s v="84023/2023/1"/>
    <s v="9044/2024/PO/DRE/CAC/ND"/>
    <n v="3846230"/>
    <n v="2307738"/>
    <n v="384623"/>
    <d v="2024-02-04T00:00:00"/>
    <x v="1"/>
    <s v="Echue"/>
    <x v="0"/>
    <x v="0"/>
    <s v="KO"/>
    <x v="0"/>
    <n v="1095608"/>
    <n v="657364.79999999993"/>
  </r>
  <r>
    <n v="92138621199"/>
    <x v="2"/>
    <n v="60815690681"/>
    <s v="Banque Populaire"/>
    <s v="Centre Affaires Hassan"/>
    <s v="54966/2023/1"/>
    <s v="Mise en place"/>
    <x v="1"/>
    <n v="0.5"/>
    <d v="2023-08-11T00:00:00"/>
    <d v="2025-02-11T00:00:00"/>
    <s v="Pas réglé"/>
    <m/>
    <m/>
    <m/>
    <m/>
    <m/>
    <m/>
    <s v="46092/2023/1"/>
    <s v="1517/2024/PO/DRE/CAC/ND"/>
    <n v="1095608"/>
    <n v="657364.79999999993"/>
    <n v="109560.8"/>
    <d v="2024-06-13T00:00:00"/>
    <x v="1"/>
    <s v="Echue"/>
    <x v="0"/>
    <x v="1"/>
    <s v="KO"/>
    <x v="1"/>
    <n v="5921934"/>
    <n v="3553160.4"/>
  </r>
  <r>
    <n v="70256247575"/>
    <x v="2"/>
    <n v="97799809369"/>
    <s v="Ciments du Maroc"/>
    <s v="Centre Affaires Centre Ville"/>
    <s v="24654/2023/1"/>
    <s v="Renouvellement"/>
    <x v="1"/>
    <n v="0.6"/>
    <d v="2023-06-05T00:00:00"/>
    <d v="2024-12-05T00:00:00"/>
    <s v="Pas réglé"/>
    <m/>
    <m/>
    <m/>
    <m/>
    <m/>
    <m/>
    <s v="29303/2023/1"/>
    <s v="9628/2024/PO/DRE/CAC/ND"/>
    <n v="5921934"/>
    <n v="3553160.4"/>
    <n v="592193.4"/>
    <d v="2024-12-06T00:00:00"/>
    <x v="1"/>
    <s v="Valide"/>
    <x v="1"/>
    <x v="0"/>
    <s v="KO"/>
    <x v="0"/>
    <n v="7195041"/>
    <n v="4317024.5999999996"/>
  </r>
  <r>
    <n v="52529369760"/>
    <x v="2"/>
    <n v="82819270432"/>
    <s v="Cosumar"/>
    <s v="Centre Affaires Agdal"/>
    <s v="28791/2023/1"/>
    <s v="Renouvellement"/>
    <x v="1"/>
    <n v="0.6"/>
    <d v="2023-10-12T00:00:00"/>
    <d v="2025-04-12T00:00:00"/>
    <s v="Pas réglé"/>
    <m/>
    <m/>
    <m/>
    <m/>
    <m/>
    <m/>
    <s v="18678/2023/1"/>
    <s v="9732/2024/PO/DRE/CAC/ND"/>
    <n v="7195041"/>
    <n v="4317024.5999999996"/>
    <n v="719504.10000000009"/>
    <d v="2024-08-12T00:00:00"/>
    <x v="1"/>
    <s v="Echue"/>
    <x v="0"/>
    <x v="0"/>
    <s v="KO"/>
    <x v="0"/>
    <n v="8851866"/>
    <n v="5311119.5999999996"/>
  </r>
  <r>
    <n v="71305148921"/>
    <x v="2"/>
    <n v="41533630205"/>
    <s v="Société Générale Maroc"/>
    <s v="Centre Affaires Palmier"/>
    <s v="55811/2023/1"/>
    <s v="Mise en place"/>
    <x v="1"/>
    <n v="0.6"/>
    <d v="2023-07-16T00:00:00"/>
    <d v="2025-01-16T00:00:00"/>
    <s v="Réglé"/>
    <d v="2023-10-07T00:00:00"/>
    <d v="2024-06-16T00:00:00"/>
    <s v="OCTROI"/>
    <s v="Tamwilcom"/>
    <d v="2024-11-17T00:00:00"/>
    <m/>
    <s v="50340/2023/1"/>
    <s v="4116/2024/PO/DRE/CAC/ND"/>
    <n v="8851866"/>
    <n v="5311119.5999999996"/>
    <n v="885186.60000000009"/>
    <d v="2024-10-22T00:00:00"/>
    <x v="1"/>
    <s v="Echue"/>
    <x v="0"/>
    <x v="0"/>
    <s v="KO"/>
    <x v="1"/>
    <n v="9991695"/>
    <n v="5995017"/>
  </r>
  <r>
    <n v="73043129025"/>
    <x v="2"/>
    <n v="97312091992"/>
    <s v="Maroc Telecom"/>
    <s v="Centre Affaires Gueliz"/>
    <s v="48802/2023/1"/>
    <s v="Mise en place"/>
    <x v="0"/>
    <n v="0.6"/>
    <d v="2023-10-19T00:00:00"/>
    <d v="2025-04-19T00:00:00"/>
    <s v="Réglé"/>
    <d v="2023-04-29T00:00:00"/>
    <d v="2024-03-31T00:00:00"/>
    <s v="OCTROI"/>
    <s v="Tamwilcom"/>
    <d v="2024-03-18T00:00:00"/>
    <m/>
    <s v="19319/2023/1"/>
    <s v="1021/2024/PO/DRE/CAC/ND"/>
    <n v="9991695"/>
    <n v="5995017"/>
    <n v="999169.5"/>
    <d v="2024-12-29T00:00:00"/>
    <x v="0"/>
    <s v="Echue"/>
    <x v="0"/>
    <x v="1"/>
    <s v="OK"/>
    <x v="0"/>
    <n v="2287288"/>
    <n v="1372372.8"/>
  </r>
  <r>
    <n v="23628625531"/>
    <x v="2"/>
    <n v="77692485084"/>
    <s v="OCP Group"/>
    <s v="Centre Affaires Boughaz"/>
    <s v="12750/2023/1"/>
    <s v="Mise en place"/>
    <x v="0"/>
    <n v="0.6"/>
    <d v="2023-02-01T00:00:00"/>
    <d v="2024-08-01T00:00:00"/>
    <s v="Réglé"/>
    <d v="2023-04-05T00:00:00"/>
    <d v="2023-04-10T00:00:00"/>
    <s v="DOUNIALI"/>
    <s v="Front"/>
    <d v="2024-05-18T00:00:00"/>
    <m/>
    <s v="97013/2023/1"/>
    <s v="5625/2024/PO/DRE/CAC/ND"/>
    <n v="2287288"/>
    <n v="1372372.8"/>
    <n v="228728.80000000002"/>
    <d v="2024-08-21T00:00:00"/>
    <x v="0"/>
    <s v="Echue"/>
    <x v="0"/>
    <x v="1"/>
    <s v="OK"/>
    <x v="0"/>
    <n v="7919666"/>
    <n v="4751799.5999999996"/>
  </r>
  <r>
    <n v="62111125411"/>
    <x v="2"/>
    <n v="58160311318"/>
    <s v="Banque Populaire"/>
    <s v="Centre Affaires Boughaz"/>
    <s v="20754/2023/1"/>
    <s v="Mise en place"/>
    <x v="1"/>
    <n v="0.6"/>
    <d v="2023-12-06T00:00:00"/>
    <d v="2025-06-06T00:00:00"/>
    <s v="Pas réglé"/>
    <m/>
    <m/>
    <m/>
    <m/>
    <m/>
    <m/>
    <s v="44739/2023/1"/>
    <s v="2646/2024/PO/DRE/CAC/ND"/>
    <n v="7919666"/>
    <n v="4751799.5999999996"/>
    <n v="791966.60000000009"/>
    <d v="2024-03-21T00:00:00"/>
    <x v="1"/>
    <s v="Echue"/>
    <x v="0"/>
    <x v="1"/>
    <s v="KO"/>
    <x v="0"/>
    <n v="7654844"/>
    <n v="4592906.3999999994"/>
  </r>
  <r>
    <n v="88651296316"/>
    <x v="2"/>
    <n v="98636737397"/>
    <s v="BMCE Bank"/>
    <s v="Centre Affaires Palmier"/>
    <s v="55408/2023/1"/>
    <s v="Mise en place"/>
    <x v="1"/>
    <n v="0.6"/>
    <d v="2023-10-27T00:00:00"/>
    <d v="2025-04-27T00:00:00"/>
    <s v="Pas réglé"/>
    <m/>
    <m/>
    <m/>
    <m/>
    <m/>
    <m/>
    <s v="90930/2023/1"/>
    <s v="7746/2024/PO/DRE/CAC/ND"/>
    <n v="7654844"/>
    <n v="4592906.3999999994"/>
    <n v="765484.4"/>
    <d v="2024-10-22T00:00:00"/>
    <x v="1"/>
    <s v="Echue"/>
    <x v="0"/>
    <x v="0"/>
    <s v="KO"/>
    <x v="1"/>
    <n v="8106240"/>
    <n v="4863744"/>
  </r>
  <r>
    <n v="36745910940"/>
    <x v="2"/>
    <n v="64657259154"/>
    <s v="2M Atlas"/>
    <s v="Centre Affaires Anfa"/>
    <s v="95059/2023/1"/>
    <s v="Renouvellement"/>
    <x v="1"/>
    <n v="0.6"/>
    <d v="2023-12-01T00:00:00"/>
    <d v="2025-06-01T00:00:00"/>
    <s v="Pas réglé"/>
    <m/>
    <m/>
    <m/>
    <m/>
    <m/>
    <m/>
    <s v="40345/2023/1"/>
    <s v="8809/2024/PO/DRE/CAC/ND"/>
    <n v="8106240"/>
    <n v="4863744"/>
    <n v="810624"/>
    <d v="2024-10-08T00:00:00"/>
    <x v="1"/>
    <s v="Valide"/>
    <x v="1"/>
    <x v="0"/>
    <s v="KO"/>
    <x v="0"/>
    <n v="2064207"/>
    <n v="1238524.2"/>
  </r>
  <r>
    <n v="94213654064"/>
    <x v="2"/>
    <n v="46278318852"/>
    <s v="Maghreb Steel"/>
    <s v="Centre Affaires Chellah"/>
    <s v="41022/2023/1"/>
    <s v="Renouvellement"/>
    <x v="0"/>
    <n v="0.7"/>
    <d v="2023-12-09T00:00:00"/>
    <d v="2025-06-09T00:00:00"/>
    <s v="Réglé"/>
    <d v="2023-03-02T00:00:00"/>
    <d v="2024-07-19T00:00:00"/>
    <s v="DOUNIALI"/>
    <s v="Tamwilcom"/>
    <d v="2024-02-14T00:00:00"/>
    <m/>
    <s v="28123/2023/1"/>
    <s v="2156/2024/PO/DRE/CAC/ND"/>
    <n v="2064207"/>
    <n v="1238524.2"/>
    <n v="206420.7"/>
    <d v="2024-08-31T00:00:00"/>
    <x v="0"/>
    <s v="Echue"/>
    <x v="0"/>
    <x v="1"/>
    <s v="OK"/>
    <x v="1"/>
    <n v="7957063"/>
    <n v="4774237.8"/>
  </r>
  <r>
    <n v="95028260763"/>
    <x v="2"/>
    <n v="50220168184"/>
    <s v="Société Générale Maroc"/>
    <s v="Centre Affaires Palmier"/>
    <s v="22406/2023/1"/>
    <s v="Renouvellement"/>
    <x v="0"/>
    <n v="0.6"/>
    <d v="2023-05-12T00:00:00"/>
    <d v="2024-11-12T00:00:00"/>
    <s v="Pas réglé"/>
    <m/>
    <m/>
    <m/>
    <m/>
    <m/>
    <m/>
    <s v="35499/2023/1"/>
    <s v="3709/2024/PO/DRE/CAC/ND"/>
    <n v="7957063"/>
    <n v="4774237.8"/>
    <n v="795706.3"/>
    <d v="2024-07-07T00:00:00"/>
    <x v="0"/>
    <s v="Echue"/>
    <x v="0"/>
    <x v="1"/>
    <s v="OK"/>
    <x v="1"/>
    <n v="2034956"/>
    <n v="1220973.5999999999"/>
  </r>
  <r>
    <n v="76995859932"/>
    <x v="2"/>
    <n v="53646175231"/>
    <s v="2M Atlas"/>
    <s v="Centre Affaires Agdal"/>
    <s v="91850/2023/1"/>
    <s v="Renouvellement"/>
    <x v="0"/>
    <n v="0.6"/>
    <d v="2023-04-11T00:00:00"/>
    <d v="2024-10-11T00:00:00"/>
    <s v="Réglé"/>
    <d v="2023-05-26T00:00:00"/>
    <d v="2023-05-06T00:00:00"/>
    <s v="DOUNIALI"/>
    <s v="Front"/>
    <d v="2024-06-01T00:00:00"/>
    <m/>
    <s v="82097/2023/1"/>
    <s v="9912/2024/PO/DRE/CAC/ND"/>
    <n v="2034956"/>
    <n v="1220973.5999999999"/>
    <n v="203495.6"/>
    <d v="2024-02-18T00:00:00"/>
    <x v="0"/>
    <s v="Valide"/>
    <x v="1"/>
    <x v="0"/>
    <s v="OK"/>
    <x v="0"/>
    <n v="2337988"/>
    <n v="1402792.8"/>
  </r>
  <r>
    <n v="41863239918"/>
    <x v="2"/>
    <n v="25814113991"/>
    <s v="OCP Group"/>
    <s v="Centre Affaires Hassan"/>
    <s v="50665/2023/1"/>
    <s v="Mise en place"/>
    <x v="0"/>
    <n v="0.6"/>
    <d v="2023-10-01T00:00:00"/>
    <d v="2025-04-01T00:00:00"/>
    <s v="Réglé"/>
    <d v="2023-05-31T00:00:00"/>
    <d v="2024-09-10T00:00:00"/>
    <s v="DOUNIALI"/>
    <s v="Tamwilcom"/>
    <d v="2024-01-05T00:00:00"/>
    <m/>
    <s v="12616/2023/1"/>
    <s v="7113/2024/PO/DRE/CAC/ND"/>
    <n v="2337988"/>
    <n v="1402792.8"/>
    <n v="233798.80000000002"/>
    <d v="2024-09-13T00:00:00"/>
    <x v="0"/>
    <s v="Valide"/>
    <x v="1"/>
    <x v="0"/>
    <s v="OK"/>
    <x v="0"/>
    <n v="9640258"/>
    <n v="5784154.7999999998"/>
  </r>
  <r>
    <n v="35959573883"/>
    <x v="2"/>
    <n v="49321003404"/>
    <s v="Banque Populaire"/>
    <s v="Centre Affaires Palmier"/>
    <s v="27182/2023/1"/>
    <s v="Mise en place"/>
    <x v="0"/>
    <n v="0.6"/>
    <d v="2023-06-08T00:00:00"/>
    <d v="2024-12-08T00:00:00"/>
    <s v="Réglé"/>
    <d v="2023-05-18T00:00:00"/>
    <d v="2023-09-19T00:00:00"/>
    <s v="DOUNIALI"/>
    <s v="Tamwilcom"/>
    <d v="2024-05-29T00:00:00"/>
    <m/>
    <s v="57185/2023/1"/>
    <s v="7268/2024/PO/DRE/CAC/ND"/>
    <n v="9640258"/>
    <n v="5784154.7999999998"/>
    <n v="964025.8"/>
    <d v="2024-10-14T00:00:00"/>
    <x v="0"/>
    <s v="Echue"/>
    <x v="0"/>
    <x v="0"/>
    <s v="OK"/>
    <x v="1"/>
    <n v="3764361"/>
    <n v="2258616.6"/>
  </r>
  <r>
    <n v="12564228788"/>
    <x v="2"/>
    <n v="66974238769"/>
    <s v="Banque Populaire"/>
    <s v="Centre Affaires Gueliz"/>
    <s v="47237/2023/1"/>
    <s v="Mise en place"/>
    <x v="1"/>
    <n v="0.6"/>
    <d v="2023-05-14T00:00:00"/>
    <d v="2024-11-14T00:00:00"/>
    <s v="Pas réglé"/>
    <m/>
    <m/>
    <m/>
    <m/>
    <m/>
    <m/>
    <s v="76820/2023/1"/>
    <s v="9558/2024/PO/DRE/CAC/ND"/>
    <n v="3764361"/>
    <n v="2258616.6"/>
    <n v="376436.10000000003"/>
    <d v="2024-01-29T00:00:00"/>
    <x v="1"/>
    <s v="Echue"/>
    <x v="0"/>
    <x v="0"/>
    <s v="KO"/>
    <x v="0"/>
    <n v="9597288"/>
    <n v="5758372.7999999998"/>
  </r>
  <r>
    <n v="22281059583"/>
    <x v="2"/>
    <n v="94183670519"/>
    <s v="Société Générale Maroc"/>
    <s v="Centre Affaires Boughaz"/>
    <s v="15626/2023/1"/>
    <s v="Renouvellement"/>
    <x v="0"/>
    <n v="0.7"/>
    <d v="2023-04-16T00:00:00"/>
    <d v="2024-10-16T00:00:00"/>
    <s v="Réglé"/>
    <d v="2023-12-09T00:00:00"/>
    <d v="2023-05-05T00:00:00"/>
    <s v="DOUNIALI"/>
    <s v="Tamwilcom"/>
    <d v="2024-06-01T00:00:00"/>
    <m/>
    <s v="26552/2023/1"/>
    <s v="3492/2024/PO/DRE/CAC/ND"/>
    <n v="9597288"/>
    <n v="5758372.7999999998"/>
    <n v="959728.8"/>
    <d v="2024-06-23T00:00:00"/>
    <x v="0"/>
    <s v="Valide"/>
    <x v="1"/>
    <x v="0"/>
    <s v="OK"/>
    <x v="1"/>
    <n v="4817267"/>
    <n v="2890360.1999999997"/>
  </r>
  <r>
    <n v="26076607351"/>
    <x v="2"/>
    <n v="85464253001"/>
    <s v="Ciments du Maroc"/>
    <s v="Centre Affaires Chellah"/>
    <s v="27897/2023/1"/>
    <s v="Renouvellement"/>
    <x v="0"/>
    <n v="0.6"/>
    <d v="2023-04-19T00:00:00"/>
    <d v="2024-10-19T00:00:00"/>
    <s v="Pas réglé"/>
    <m/>
    <m/>
    <m/>
    <m/>
    <m/>
    <m/>
    <s v="41264/2023/1"/>
    <s v="8545/2024/PO/DRE/CAC/ND"/>
    <n v="4817267"/>
    <n v="2890360.1999999997"/>
    <n v="481726.7"/>
    <d v="2024-04-11T00:00:00"/>
    <x v="0"/>
    <s v="Valide"/>
    <x v="1"/>
    <x v="1"/>
    <s v="OK"/>
    <x v="1"/>
    <n v="6728054"/>
    <n v="4036832.4"/>
  </r>
  <r>
    <n v="18042244204"/>
    <x v="2"/>
    <n v="88945984338"/>
    <s v="Managem"/>
    <s v="Centre Affaires Palmier"/>
    <s v="63617/2023/1"/>
    <s v="Renouvellement"/>
    <x v="0"/>
    <n v="0.6"/>
    <d v="2023-10-11T00:00:00"/>
    <d v="2025-04-11T00:00:00"/>
    <s v="Réglé"/>
    <d v="2023-05-19T00:00:00"/>
    <d v="2024-05-18T00:00:00"/>
    <s v="OCTROI"/>
    <s v="Tamwilcom"/>
    <d v="2024-02-10T00:00:00"/>
    <m/>
    <s v="88501/2023/1"/>
    <s v="9777/2024/PO/DRE/CAC/ND"/>
    <n v="6728054"/>
    <n v="4036832.4"/>
    <n v="672805.4"/>
    <d v="2024-03-13T00:00:00"/>
    <x v="0"/>
    <s v="Echue"/>
    <x v="0"/>
    <x v="1"/>
    <s v="OK"/>
    <x v="0"/>
    <n v="3552462"/>
    <n v="2131477.1999999997"/>
  </r>
  <r>
    <n v="39231054668"/>
    <x v="2"/>
    <n v="24232772303"/>
    <s v="Cosumar"/>
    <s v="Centre Affaires Agdal"/>
    <s v="35644/2023/1"/>
    <s v="Mise en place"/>
    <x v="1"/>
    <n v="0.6"/>
    <d v="2023-03-02T00:00:00"/>
    <d v="2024-09-02T00:00:00"/>
    <s v="Pas réglé"/>
    <m/>
    <m/>
    <m/>
    <m/>
    <m/>
    <m/>
    <s v="69758/2023/1"/>
    <s v="9442/2024/PO/DRE/CAC/ND"/>
    <n v="3552462"/>
    <n v="2131477.1999999997"/>
    <n v="355246.2"/>
    <d v="2024-01-10T00:00:00"/>
    <x v="1"/>
    <s v="Echue"/>
    <x v="0"/>
    <x v="1"/>
    <s v="KO"/>
    <x v="0"/>
    <n v="6114623"/>
    <n v="3668773.8"/>
  </r>
  <r>
    <n v="48769584982"/>
    <x v="2"/>
    <n v="65115411434"/>
    <s v="OCP Group"/>
    <s v="Centre Affaires Palmier"/>
    <s v="65353/2023/1"/>
    <s v="Mise en place"/>
    <x v="1"/>
    <n v="0.5"/>
    <d v="2023-06-19T00:00:00"/>
    <d v="2024-12-19T00:00:00"/>
    <s v="Pas réglé"/>
    <m/>
    <m/>
    <m/>
    <m/>
    <m/>
    <m/>
    <s v="21472/2023/1"/>
    <s v="4442/2024/PO/DRE/CAC/ND"/>
    <n v="6114623"/>
    <n v="3668773.8"/>
    <n v="611462.30000000005"/>
    <d v="2024-06-12T00:00:00"/>
    <x v="1"/>
    <s v="Echue"/>
    <x v="0"/>
    <x v="1"/>
    <s v="KO"/>
    <x v="1"/>
    <n v="9811512"/>
    <n v="5886907.2000000002"/>
  </r>
  <r>
    <n v="80490433662"/>
    <x v="2"/>
    <n v="88150332885"/>
    <s v="Banque Populaire"/>
    <s v="Centre Affaires Agdal"/>
    <s v="79407/2023/1"/>
    <s v="Mise en place"/>
    <x v="1"/>
    <n v="0.5"/>
    <d v="2023-02-05T00:00:00"/>
    <d v="2024-08-05T00:00:00"/>
    <s v="Réglé"/>
    <d v="2023-10-21T00:00:00"/>
    <d v="2023-07-29T00:00:00"/>
    <s v="OCTROI"/>
    <s v="Front"/>
    <d v="2024-08-17T00:00:00"/>
    <m/>
    <s v="82425/2023/1"/>
    <s v="2104/2024/PO/DRE/CAC/ND"/>
    <n v="9811512"/>
    <n v="5886907.2000000002"/>
    <n v="981151.20000000007"/>
    <d v="2024-09-13T00:00:00"/>
    <x v="1"/>
    <s v="Echue"/>
    <x v="0"/>
    <x v="1"/>
    <s v="KO"/>
    <x v="0"/>
    <n v="6825430"/>
    <n v="4095258"/>
  </r>
  <r>
    <n v="12810679305"/>
    <x v="2"/>
    <n v="31215002858"/>
    <s v="OCP Group"/>
    <s v="Centre Affaires Hivernage"/>
    <s v="63828/2023/1"/>
    <s v="Mise en place"/>
    <x v="1"/>
    <n v="0.6"/>
    <d v="2023-05-26T00:00:00"/>
    <d v="2024-11-26T00:00:00"/>
    <s v="Réglé"/>
    <d v="2023-01-30T00:00:00"/>
    <d v="2024-03-29T00:00:00"/>
    <s v="DOUNIALI"/>
    <s v="Tamwilcom"/>
    <d v="2024-12-29T00:00:00"/>
    <m/>
    <s v="86129/2023/1"/>
    <s v="5629/2024/PO/DRE/CAC/ND"/>
    <n v="6825430"/>
    <n v="4095258"/>
    <n v="682543"/>
    <d v="2024-11-30T00:00:00"/>
    <x v="1"/>
    <s v="Valide"/>
    <x v="1"/>
    <x v="0"/>
    <s v="KO"/>
    <x v="0"/>
    <n v="4245747"/>
    <n v="2547448.1999999997"/>
  </r>
  <r>
    <n v="37800479524"/>
    <x v="2"/>
    <n v="75782473856"/>
    <s v="Société Générale Maroc"/>
    <s v="Centre Affaires Hassan"/>
    <s v="28144/2023/1"/>
    <s v="Mise en place"/>
    <x v="0"/>
    <n v="0.7"/>
    <d v="2023-12-30T00:00:00"/>
    <d v="2025-06-30T00:00:00"/>
    <s v="Réglé"/>
    <d v="2023-08-24T00:00:00"/>
    <d v="2024-10-22T00:00:00"/>
    <s v="DOUNIALI"/>
    <s v="Front"/>
    <d v="2024-05-01T00:00:00"/>
    <m/>
    <s v="35214/2023/1"/>
    <s v="3155/2024/PO/DRE/CAC/ND"/>
    <n v="4245747"/>
    <n v="2547448.1999999997"/>
    <n v="424574.7"/>
    <d v="2024-11-10T00:00:00"/>
    <x v="0"/>
    <s v="Echue"/>
    <x v="0"/>
    <x v="1"/>
    <s v="OK"/>
    <x v="1"/>
    <n v="4491655"/>
    <n v="2694993"/>
  </r>
  <r>
    <n v="80580140230"/>
    <x v="2"/>
    <n v="41550925422"/>
    <s v="Managem"/>
    <s v="Centre Affaires Anfa"/>
    <s v="56067/2023/1"/>
    <s v="Mise en place"/>
    <x v="0"/>
    <n v="0.6"/>
    <d v="2023-11-15T00:00:00"/>
    <d v="2025-05-15T00:00:00"/>
    <s v="Pas réglé"/>
    <m/>
    <m/>
    <m/>
    <m/>
    <m/>
    <m/>
    <s v="96267/2023/1"/>
    <s v="2834/2024/PO/DRE/CAC/ND"/>
    <n v="4491655"/>
    <n v="2694993"/>
    <n v="449165.5"/>
    <d v="2024-02-14T00:00:00"/>
    <x v="0"/>
    <s v="Valide"/>
    <x v="1"/>
    <x v="0"/>
    <s v="OK"/>
    <x v="0"/>
    <n v="4590168"/>
    <n v="2754100.8"/>
  </r>
  <r>
    <n v="77604625761"/>
    <x v="2"/>
    <n v="69611503435"/>
    <s v="Ciments du Maroc"/>
    <s v="Centre Affaires Boughaz"/>
    <s v="24799/2023/1"/>
    <s v="Renouvellement"/>
    <x v="1"/>
    <n v="0.6"/>
    <d v="2023-06-04T00:00:00"/>
    <d v="2024-12-04T00:00:00"/>
    <s v="Réglé"/>
    <d v="2023-05-16T00:00:00"/>
    <d v="2024-04-24T00:00:00"/>
    <s v="OCTROI"/>
    <s v="Front"/>
    <d v="2024-06-09T00:00:00"/>
    <m/>
    <s v="79673/2023/1"/>
    <s v="2835/2024/PO/DRE/CAC/ND"/>
    <n v="4590168"/>
    <n v="2754100.8"/>
    <n v="459016.80000000005"/>
    <d v="2024-06-21T00:00:00"/>
    <x v="1"/>
    <s v="Valide"/>
    <x v="1"/>
    <x v="0"/>
    <s v="KO"/>
    <x v="0"/>
    <n v="2114887"/>
    <n v="1268932.2"/>
  </r>
  <r>
    <n v="86641388169"/>
    <x v="2"/>
    <n v="63851591788"/>
    <s v="Banque Populaire"/>
    <s v="Centre Affaires Centre Ville"/>
    <s v="71533/2023/1"/>
    <s v="Mise en place"/>
    <x v="1"/>
    <n v="0.6"/>
    <d v="2023-01-22T00:00:00"/>
    <d v="2024-07-22T00:00:00"/>
    <s v="Réglé"/>
    <d v="2023-05-05T00:00:00"/>
    <d v="2023-07-13T00:00:00"/>
    <s v="DOUNIALI"/>
    <s v="Tamwilcom"/>
    <d v="2024-10-18T00:00:00"/>
    <m/>
    <s v="96817/2023/1"/>
    <s v="9208/2024/PO/DRE/CAC/ND"/>
    <n v="2114887"/>
    <n v="1268932.2"/>
    <n v="211488.7"/>
    <d v="2024-12-21T00:00:00"/>
    <x v="1"/>
    <s v="Echue"/>
    <x v="0"/>
    <x v="1"/>
    <s v="KO"/>
    <x v="1"/>
    <n v="8766509"/>
    <n v="5259905.3999999994"/>
  </r>
  <r>
    <n v="82915773712"/>
    <x v="2"/>
    <n v="80429988303"/>
    <s v="OCP Group"/>
    <s v="Centre Affaires Centre Ville"/>
    <s v="25358/2023/1"/>
    <s v="Renouvellement"/>
    <x v="0"/>
    <n v="0.5"/>
    <d v="2023-06-04T00:00:00"/>
    <d v="2024-12-04T00:00:00"/>
    <s v="Pas réglé"/>
    <m/>
    <m/>
    <m/>
    <m/>
    <m/>
    <m/>
    <s v="41569/2023/1"/>
    <s v="9421/2024/PO/DRE/CAC/ND"/>
    <n v="8766509"/>
    <n v="5259905.3999999994"/>
    <n v="876650.9"/>
    <d v="2024-07-03T00:00:00"/>
    <x v="0"/>
    <s v="Valide"/>
    <x v="1"/>
    <x v="0"/>
    <s v="OK"/>
    <x v="1"/>
    <n v="1029679"/>
    <n v="617807.4"/>
  </r>
  <r>
    <n v="24361114953"/>
    <x v="2"/>
    <n v="77433059960"/>
    <s v="Managem"/>
    <s v="Centre Affaires Hivernage"/>
    <s v="68703/2023/1"/>
    <s v="Mise en place"/>
    <x v="0"/>
    <n v="0.6"/>
    <d v="2023-05-31T00:00:00"/>
    <d v="2024-11-30T00:00:00"/>
    <s v="Pas réglé"/>
    <m/>
    <m/>
    <m/>
    <m/>
    <m/>
    <m/>
    <s v="58314/2023/1"/>
    <s v="3296/2024/PO/DRE/CAC/ND"/>
    <n v="1029679"/>
    <n v="617807.4"/>
    <n v="102967.90000000001"/>
    <d v="2024-11-20T00:00:00"/>
    <x v="0"/>
    <s v="Echue"/>
    <x v="0"/>
    <x v="1"/>
    <s v="OK"/>
    <x v="1"/>
    <n v="6456427"/>
    <n v="3873856.1999999997"/>
  </r>
  <r>
    <n v="88096937889"/>
    <x v="2"/>
    <n v="93958219253"/>
    <s v="Société Générale Maroc"/>
    <s v="Centre Affaires Hivernage"/>
    <s v="46878/2023/1"/>
    <s v="Mise en place"/>
    <x v="0"/>
    <n v="0.6"/>
    <d v="2023-01-23T00:00:00"/>
    <d v="2024-07-23T00:00:00"/>
    <s v="Pas réglé"/>
    <m/>
    <m/>
    <m/>
    <m/>
    <m/>
    <m/>
    <s v="31274/2023/1"/>
    <s v="8314/2024/PO/DRE/CAC/ND"/>
    <n v="6456427"/>
    <n v="3873856.1999999997"/>
    <n v="645642.70000000007"/>
    <d v="2024-07-12T00:00:00"/>
    <x v="0"/>
    <s v="Echue"/>
    <x v="0"/>
    <x v="0"/>
    <s v="OK"/>
    <x v="0"/>
    <n v="4077311"/>
    <n v="2446386.6"/>
  </r>
  <r>
    <n v="74405728499"/>
    <x v="2"/>
    <n v="38062829296"/>
    <s v="OCP Group"/>
    <s v="Centre Affaires Anfa"/>
    <s v="22297/2023/1"/>
    <s v="Mise en place"/>
    <x v="0"/>
    <n v="0.7"/>
    <d v="2023-06-15T00:00:00"/>
    <d v="2024-12-15T00:00:00"/>
    <s v="Pas réglé"/>
    <m/>
    <m/>
    <m/>
    <m/>
    <m/>
    <m/>
    <s v="18823/2023/1"/>
    <s v="5086/2024/PO/DRE/CAC/ND"/>
    <n v="4077311"/>
    <n v="2446386.6"/>
    <n v="407731.10000000003"/>
    <d v="2024-09-23T00:00:00"/>
    <x v="0"/>
    <s v="Valide"/>
    <x v="1"/>
    <x v="0"/>
    <s v="OK"/>
    <x v="1"/>
    <n v="1125009"/>
    <n v="675005.4"/>
  </r>
  <r>
    <n v="77970330377"/>
    <x v="2"/>
    <n v="50423374199"/>
    <s v="Ciments du Maroc"/>
    <s v="Centre Affaires Hassan"/>
    <s v="75669/2023/1"/>
    <s v="Mise en place"/>
    <x v="0"/>
    <n v="0.6"/>
    <d v="2023-06-25T00:00:00"/>
    <d v="2024-12-25T00:00:00"/>
    <s v="Pas réglé"/>
    <m/>
    <m/>
    <m/>
    <m/>
    <m/>
    <m/>
    <s v="72666/2023/1"/>
    <s v="4155/2024/PO/DRE/CAC/ND"/>
    <n v="1125009"/>
    <n v="675005.4"/>
    <n v="112500.90000000001"/>
    <d v="2024-11-06T00:00:00"/>
    <x v="0"/>
    <s v="Valide"/>
    <x v="1"/>
    <x v="0"/>
    <s v="OK"/>
    <x v="1"/>
    <n v="3958277"/>
    <n v="2374966.1999999997"/>
  </r>
  <r>
    <n v="21177546971"/>
    <x v="2"/>
    <n v="48404050193"/>
    <s v="Cosumar"/>
    <s v="Centre Affaires Gueliz"/>
    <s v="89501/2023/1"/>
    <s v="Renouvellement"/>
    <x v="1"/>
    <n v="0.7"/>
    <d v="2023-03-20T00:00:00"/>
    <d v="2024-09-20T00:00:00"/>
    <s v="Réglé"/>
    <d v="2023-03-23T00:00:00"/>
    <d v="2023-12-07T00:00:00"/>
    <s v="OCTROI"/>
    <s v="Front"/>
    <d v="2024-07-11T00:00:00"/>
    <m/>
    <s v="83097/2023/1"/>
    <s v="4562/2024/PO/DRE/CAC/ND"/>
    <n v="3958277"/>
    <n v="2374966.1999999997"/>
    <n v="395827.7"/>
    <d v="2024-10-23T00:00:00"/>
    <x v="1"/>
    <s v="Echue"/>
    <x v="0"/>
    <x v="1"/>
    <s v="KO"/>
    <x v="0"/>
    <n v="5081350"/>
    <n v="3048810"/>
  </r>
  <r>
    <n v="73851315922"/>
    <x v="2"/>
    <n v="69935117052"/>
    <s v="BMCE Bank"/>
    <s v="Centre Affaires Centre Ville"/>
    <s v="51503/2023/1"/>
    <s v="Renouvellement"/>
    <x v="0"/>
    <n v="0.7"/>
    <d v="2023-02-17T00:00:00"/>
    <d v="2024-08-17T00:00:00"/>
    <s v="Réglé"/>
    <d v="2023-12-04T00:00:00"/>
    <d v="2023-10-27T00:00:00"/>
    <s v="OCTROI"/>
    <s v="Front"/>
    <d v="2024-12-18T00:00:00"/>
    <m/>
    <s v="92456/2023/1"/>
    <s v="3743/2024/PO/DRE/CAC/ND"/>
    <n v="5081350"/>
    <n v="3048810"/>
    <n v="508135"/>
    <d v="2024-07-29T00:00:00"/>
    <x v="0"/>
    <s v="Echue"/>
    <x v="0"/>
    <x v="0"/>
    <s v="OK"/>
    <x v="1"/>
    <n v="9315522"/>
    <n v="5589313.2000000002"/>
  </r>
  <r>
    <n v="43346224124"/>
    <x v="2"/>
    <n v="35987321495"/>
    <s v="Maroc Telecom"/>
    <s v="Centre Affaires Palmier"/>
    <s v="60950/2023/1"/>
    <s v="Mise en place"/>
    <x v="0"/>
    <n v="0.7"/>
    <d v="2023-09-25T00:00:00"/>
    <d v="2025-03-25T00:00:00"/>
    <s v="Pas réglé"/>
    <m/>
    <m/>
    <m/>
    <m/>
    <m/>
    <m/>
    <s v="55261/2023/1"/>
    <s v="9825/2024/PO/DRE/CAC/ND"/>
    <n v="9315522"/>
    <n v="5589313.2000000002"/>
    <n v="931552.20000000007"/>
    <d v="2024-04-10T00:00:00"/>
    <x v="0"/>
    <s v="Valide"/>
    <x v="1"/>
    <x v="0"/>
    <s v="OK"/>
    <x v="1"/>
    <n v="9130311"/>
    <n v="5478186.5999999996"/>
  </r>
  <r>
    <n v="69115136934"/>
    <x v="2"/>
    <n v="18846345290"/>
    <s v="2M Atlas"/>
    <s v="Centre Affaires Chellah"/>
    <s v="30210/2023/1"/>
    <s v="Mise en place"/>
    <x v="1"/>
    <n v="0.6"/>
    <d v="2023-02-02T00:00:00"/>
    <d v="2024-08-02T00:00:00"/>
    <s v="Réglé"/>
    <d v="2023-06-05T00:00:00"/>
    <d v="2024-02-02T00:00:00"/>
    <s v="OCTROI"/>
    <s v="Front"/>
    <d v="2024-02-14T00:00:00"/>
    <m/>
    <s v="99753/2023/1"/>
    <s v="9435/2024/PO/DRE/CAC/ND"/>
    <n v="9130311"/>
    <n v="5478186.5999999996"/>
    <n v="913031.10000000009"/>
    <d v="2024-04-10T00:00:00"/>
    <x v="1"/>
    <s v="Echue"/>
    <x v="0"/>
    <x v="0"/>
    <s v="KO"/>
    <x v="0"/>
    <n v="3075756"/>
    <n v="1845453.5999999999"/>
  </r>
  <r>
    <n v="67680790347"/>
    <x v="2"/>
    <n v="40324355634"/>
    <s v="Ciments du Maroc"/>
    <s v="Centre Affaires Chellah"/>
    <s v="10618/2023/1"/>
    <s v="Renouvellement"/>
    <x v="0"/>
    <n v="0.6"/>
    <d v="2023-08-30T00:00:00"/>
    <d v="2025-02-28T00:00:00"/>
    <s v="Réglé"/>
    <d v="2023-08-11T00:00:00"/>
    <d v="2024-02-07T00:00:00"/>
    <s v="OCTROI"/>
    <s v="Front"/>
    <d v="2024-02-05T00:00:00"/>
    <m/>
    <s v="67205/2023/1"/>
    <s v="9163/2024/PO/DRE/CAC/ND"/>
    <n v="3075756"/>
    <n v="1845453.5999999999"/>
    <n v="307575.60000000003"/>
    <d v="2024-03-03T00:00:00"/>
    <x v="0"/>
    <s v="Valide"/>
    <x v="1"/>
    <x v="1"/>
    <s v="OK"/>
    <x v="1"/>
    <n v="8139032"/>
    <n v="4883419.2"/>
  </r>
  <r>
    <n v="16570229764"/>
    <x v="2"/>
    <n v="42399802527"/>
    <s v="BMCE Bank"/>
    <s v="Centre Affaires Palmier"/>
    <s v="41860/2023/1"/>
    <s v="Mise en place"/>
    <x v="1"/>
    <n v="0.6"/>
    <d v="2023-09-14T00:00:00"/>
    <d v="2025-03-14T00:00:00"/>
    <s v="Pas réglé"/>
    <m/>
    <m/>
    <m/>
    <m/>
    <m/>
    <m/>
    <s v="47600/2023/1"/>
    <s v="7562/2024/PO/DRE/CAC/ND"/>
    <n v="8139032"/>
    <n v="4883419.2"/>
    <n v="813903.20000000007"/>
    <d v="2024-07-13T00:00:00"/>
    <x v="1"/>
    <s v="Echue"/>
    <x v="0"/>
    <x v="1"/>
    <s v="KO"/>
    <x v="1"/>
    <n v="3986917"/>
    <n v="2392150.1999999997"/>
  </r>
  <r>
    <n v="54174105498"/>
    <x v="2"/>
    <n v="21651945398"/>
    <s v="2M Atlas"/>
    <s v="Centre Affaires Hassan"/>
    <s v="14704/2023/1"/>
    <s v="Renouvellement"/>
    <x v="1"/>
    <n v="0.7"/>
    <d v="2023-11-26T00:00:00"/>
    <d v="2025-05-26T00:00:00"/>
    <s v="Pas réglé"/>
    <m/>
    <m/>
    <m/>
    <m/>
    <m/>
    <m/>
    <s v="98757/2023/1"/>
    <s v="4042/2024/PO/DRE/CAC/ND"/>
    <n v="3986917"/>
    <n v="2392150.1999999997"/>
    <n v="398691.7"/>
    <d v="2024-10-10T00:00:00"/>
    <x v="1"/>
    <s v="Valide"/>
    <x v="1"/>
    <x v="0"/>
    <s v="KO"/>
    <x v="1"/>
    <n v="1354562"/>
    <n v="812737.2"/>
  </r>
  <r>
    <n v="37992849148"/>
    <x v="2"/>
    <n v="85755301259"/>
    <s v="BMCE Bank"/>
    <s v="Centre Affaires Palmier"/>
    <s v="66221/2023/1"/>
    <s v="Renouvellement"/>
    <x v="1"/>
    <n v="0.5"/>
    <d v="2023-04-10T00:00:00"/>
    <d v="2024-10-10T00:00:00"/>
    <s v="Réglé"/>
    <d v="2023-10-10T00:00:00"/>
    <d v="2023-08-08T00:00:00"/>
    <s v="OCTROI"/>
    <s v="Front"/>
    <d v="2024-02-09T00:00:00"/>
    <m/>
    <s v="75507/2023/1"/>
    <s v="4170/2024/PO/DRE/CAC/ND"/>
    <n v="1354562"/>
    <n v="812737.2"/>
    <n v="135456.20000000001"/>
    <d v="2024-10-03T00:00:00"/>
    <x v="1"/>
    <s v="Valide"/>
    <x v="1"/>
    <x v="0"/>
    <s v="KO"/>
    <x v="1"/>
    <n v="8522626"/>
    <n v="5113575.5999999996"/>
  </r>
  <r>
    <n v="33209877012"/>
    <x v="2"/>
    <n v="43985888949"/>
    <s v="Banque Populaire"/>
    <s v="Centre Affaires Hassan"/>
    <s v="54105/2023/1"/>
    <s v="Mise en place"/>
    <x v="0"/>
    <n v="0.7"/>
    <d v="2023-12-26T00:00:00"/>
    <d v="2025-06-26T00:00:00"/>
    <s v="Réglé"/>
    <d v="2023-05-25T00:00:00"/>
    <d v="2024-02-15T00:00:00"/>
    <s v="DOUNIALI"/>
    <s v="Tamwilcom"/>
    <d v="2024-06-04T00:00:00"/>
    <m/>
    <s v="27355/2023/1"/>
    <s v="1232/2024/PO/DRE/CAC/ND"/>
    <n v="8522626"/>
    <n v="5113575.5999999996"/>
    <n v="852262.60000000009"/>
    <d v="2024-07-07T00:00:00"/>
    <x v="0"/>
    <s v="Echue"/>
    <x v="0"/>
    <x v="0"/>
    <s v="OK"/>
    <x v="1"/>
    <n v="6750847"/>
    <n v="4050508.1999999997"/>
  </r>
  <r>
    <n v="51589524620"/>
    <x v="2"/>
    <n v="53527391217"/>
    <s v="Société Générale Maroc"/>
    <s v="Centre Affaires Maarif"/>
    <s v="65343/2023/1"/>
    <s v="Mise en place"/>
    <x v="1"/>
    <n v="0.6"/>
    <d v="2023-04-12T00:00:00"/>
    <d v="2024-10-12T00:00:00"/>
    <s v="Pas réglé"/>
    <m/>
    <m/>
    <m/>
    <m/>
    <m/>
    <m/>
    <s v="77044/2023/1"/>
    <s v="6262/2024/PO/DRE/CAC/ND"/>
    <n v="6750847"/>
    <n v="4050508.1999999997"/>
    <n v="675084.70000000007"/>
    <d v="2024-09-07T00:00:00"/>
    <x v="1"/>
    <s v="Valide"/>
    <x v="1"/>
    <x v="0"/>
    <s v="KO"/>
    <x v="1"/>
    <n v="1709364"/>
    <n v="1025618.3999999999"/>
  </r>
  <r>
    <n v="80556474181"/>
    <x v="2"/>
    <n v="30080828538"/>
    <s v="Maghreb Steel"/>
    <s v="Centre Affaires Centre Ville"/>
    <s v="87516/2023/1"/>
    <s v="Mise en place"/>
    <x v="0"/>
    <n v="0.6"/>
    <d v="2023-12-23T00:00:00"/>
    <d v="2025-06-23T00:00:00"/>
    <s v="Pas réglé"/>
    <m/>
    <m/>
    <m/>
    <m/>
    <m/>
    <m/>
    <s v="87707/2023/1"/>
    <s v="4558/2024/PO/DRE/CAC/ND"/>
    <n v="1709364"/>
    <n v="1025618.3999999999"/>
    <n v="170936.40000000002"/>
    <d v="2024-10-04T00:00:00"/>
    <x v="0"/>
    <s v="Valide"/>
    <x v="1"/>
    <x v="0"/>
    <s v="OK"/>
    <x v="0"/>
    <n v="8145625"/>
    <n v="4887375"/>
  </r>
  <r>
    <n v="71552919938"/>
    <x v="2"/>
    <n v="23141169340"/>
    <s v="2M Atlas"/>
    <s v="Centre Affaires Hassan"/>
    <s v="37261/2023/1"/>
    <s v="Mise en place"/>
    <x v="0"/>
    <n v="0.6"/>
    <d v="2023-11-01T00:00:00"/>
    <d v="2025-05-01T00:00:00"/>
    <s v="Réglé"/>
    <d v="2023-04-03T00:00:00"/>
    <d v="2023-11-09T00:00:00"/>
    <s v="DOUNIALI"/>
    <s v="Tamwilcom"/>
    <d v="2024-10-15T00:00:00"/>
    <m/>
    <s v="49435/2023/1"/>
    <s v="5535/2024/PO/DRE/CAC/ND"/>
    <n v="8145625"/>
    <n v="4887375"/>
    <n v="814562.5"/>
    <d v="2024-09-20T00:00:00"/>
    <x v="0"/>
    <s v="Echue"/>
    <x v="0"/>
    <x v="0"/>
    <s v="OK"/>
    <x v="1"/>
    <n v="4917603"/>
    <n v="2950561.8"/>
  </r>
  <r>
    <n v="80826905335"/>
    <x v="2"/>
    <n v="74183697329"/>
    <s v="BMCE Bank"/>
    <s v="Centre Affaires Agdal"/>
    <s v="21648/2023/1"/>
    <s v="Renouvellement"/>
    <x v="0"/>
    <n v="0.6"/>
    <d v="2023-02-18T00:00:00"/>
    <d v="2024-08-18T00:00:00"/>
    <s v="Pas réglé"/>
    <m/>
    <m/>
    <m/>
    <m/>
    <m/>
    <m/>
    <s v="23850/2023/1"/>
    <s v="9359/2024/PO/DRE/CAC/ND"/>
    <n v="4917603"/>
    <n v="2950561.8"/>
    <n v="491760.30000000005"/>
    <d v="2024-07-26T00:00:00"/>
    <x v="0"/>
    <s v="Echue"/>
    <x v="0"/>
    <x v="0"/>
    <s v="OK"/>
    <x v="0"/>
    <n v="5593355"/>
    <n v="3356013"/>
  </r>
  <r>
    <n v="91068954865"/>
    <x v="2"/>
    <n v="64141412038"/>
    <s v="2M Atlas"/>
    <s v="Centre Affaires Chellah"/>
    <s v="88263/2023/1"/>
    <s v="Mise en place"/>
    <x v="1"/>
    <n v="0.6"/>
    <d v="2023-09-10T00:00:00"/>
    <d v="2025-03-10T00:00:00"/>
    <s v="Réglé"/>
    <d v="2023-05-22T00:00:00"/>
    <d v="2024-04-23T00:00:00"/>
    <s v="OCTROI"/>
    <s v="Tamwilcom"/>
    <d v="2024-01-20T00:00:00"/>
    <m/>
    <s v="54007/2023/1"/>
    <s v="8975/2024/PO/DRE/CAC/ND"/>
    <n v="5593355"/>
    <n v="3356013"/>
    <n v="559335.5"/>
    <d v="2024-03-12T00:00:00"/>
    <x v="1"/>
    <s v="Echue"/>
    <x v="0"/>
    <x v="1"/>
    <s v="KO"/>
    <x v="0"/>
    <n v="1118553"/>
    <n v="671131.79999999993"/>
  </r>
  <r>
    <n v="72927076344"/>
    <x v="2"/>
    <n v="55435199332"/>
    <s v="2M Atlas"/>
    <s v="Centre Affaires Gueliz"/>
    <s v="84967/2023/1"/>
    <s v="Mise en place"/>
    <x v="0"/>
    <n v="0.6"/>
    <d v="2023-04-13T00:00:00"/>
    <d v="2024-10-13T00:00:00"/>
    <s v="Réglé"/>
    <d v="2023-07-26T00:00:00"/>
    <d v="2023-11-04T00:00:00"/>
    <s v="DOUNIALI"/>
    <s v="Tamwilcom"/>
    <d v="2024-03-23T00:00:00"/>
    <m/>
    <s v="30054/2023/1"/>
    <s v="7927/2024/PO/DRE/CAC/ND"/>
    <n v="1118553"/>
    <n v="671131.79999999993"/>
    <n v="111855.3"/>
    <d v="2024-05-13T00:00:00"/>
    <x v="0"/>
    <s v="Echue"/>
    <x v="0"/>
    <x v="0"/>
    <s v="OK"/>
    <x v="0"/>
    <n v="8859921"/>
    <n v="5315952.5999999996"/>
  </r>
  <r>
    <n v="22289009285"/>
    <x v="2"/>
    <n v="17908089533"/>
    <s v="Cosumar"/>
    <s v="Centre Affaires Boughaz"/>
    <s v="35576/2023/1"/>
    <s v="Renouvellement"/>
    <x v="1"/>
    <n v="0.6"/>
    <d v="2023-05-26T00:00:00"/>
    <d v="2024-11-26T00:00:00"/>
    <s v="Pas réglé"/>
    <m/>
    <m/>
    <m/>
    <m/>
    <m/>
    <m/>
    <s v="45787/2023/1"/>
    <s v="1131/2024/PO/DRE/CAC/ND"/>
    <n v="8859921"/>
    <n v="5315952.5999999996"/>
    <n v="885992.10000000009"/>
    <d v="2024-09-13T00:00:00"/>
    <x v="1"/>
    <s v="Valide"/>
    <x v="1"/>
    <x v="1"/>
    <s v="KO"/>
    <x v="0"/>
    <n v="3944900"/>
    <n v="2366940"/>
  </r>
  <r>
    <n v="55434702409"/>
    <x v="2"/>
    <n v="56879493107"/>
    <s v="Société Générale Maroc"/>
    <s v="Centre Affaires Boughaz"/>
    <s v="29275/2023/1"/>
    <s v="Renouvellement"/>
    <x v="0"/>
    <n v="0.6"/>
    <d v="2023-01-29T00:00:00"/>
    <d v="2024-07-29T00:00:00"/>
    <s v="Réglé"/>
    <d v="2023-01-08T00:00:00"/>
    <d v="2023-08-11T00:00:00"/>
    <s v="OCTROI"/>
    <s v="Front"/>
    <d v="2024-06-25T00:00:00"/>
    <m/>
    <s v="77892/2023/1"/>
    <s v="6822/2024/PO/DRE/CAC/ND"/>
    <n v="3944900"/>
    <n v="2366940"/>
    <n v="394490"/>
    <d v="2024-11-13T00:00:00"/>
    <x v="0"/>
    <s v="Valide"/>
    <x v="1"/>
    <x v="0"/>
    <s v="OK"/>
    <x v="1"/>
    <n v="6682626"/>
    <n v="4009575.5999999996"/>
  </r>
  <r>
    <n v="65747139759"/>
    <x v="2"/>
    <n v="15619555688"/>
    <s v="Maroc Telecom"/>
    <s v="Centre Affaires Gueliz"/>
    <s v="54900/2023/1"/>
    <s v="Renouvellement"/>
    <x v="0"/>
    <n v="0.6"/>
    <d v="2023-02-16T00:00:00"/>
    <d v="2024-08-16T00:00:00"/>
    <s v="Pas réglé"/>
    <m/>
    <m/>
    <m/>
    <m/>
    <m/>
    <m/>
    <s v="50428/2023/1"/>
    <s v="5773/2024/PO/DRE/CAC/ND"/>
    <n v="6682626"/>
    <n v="4009575.5999999996"/>
    <n v="668262.60000000009"/>
    <d v="2024-02-23T00:00:00"/>
    <x v="0"/>
    <s v="Valide"/>
    <x v="1"/>
    <x v="1"/>
    <s v="OK"/>
    <x v="0"/>
    <n v="1259035"/>
    <n v="755421"/>
  </r>
  <r>
    <n v="91674386474"/>
    <x v="2"/>
    <n v="94866596753"/>
    <s v="OCP Group"/>
    <s v="Centre Affaires Boughaz"/>
    <s v="81366/2023/1"/>
    <s v="Renouvellement"/>
    <x v="0"/>
    <n v="0.6"/>
    <d v="2023-07-23T00:00:00"/>
    <d v="2025-01-23T00:00:00"/>
    <s v="Pas réglé"/>
    <m/>
    <m/>
    <m/>
    <m/>
    <m/>
    <m/>
    <s v="17321/2023/1"/>
    <s v="7877/2024/PO/DRE/CAC/ND"/>
    <n v="1259035"/>
    <n v="755421"/>
    <n v="125903.5"/>
    <d v="2024-09-19T00:00:00"/>
    <x v="0"/>
    <s v="Echue"/>
    <x v="0"/>
    <x v="0"/>
    <s v="OK"/>
    <x v="0"/>
    <n v="2424804"/>
    <n v="1454882.4"/>
  </r>
  <r>
    <n v="15858244544"/>
    <x v="2"/>
    <n v="14822737470"/>
    <s v="Banque Populaire"/>
    <s v="Centre Affaires Boughaz"/>
    <s v="45578/2023/1"/>
    <s v="Renouvellement"/>
    <x v="0"/>
    <n v="0.5"/>
    <d v="2023-02-03T00:00:00"/>
    <d v="2024-08-03T00:00:00"/>
    <s v="Réglé"/>
    <d v="2023-03-02T00:00:00"/>
    <d v="2023-06-11T00:00:00"/>
    <s v="DOUNIALI"/>
    <s v="Tamwilcom"/>
    <d v="2024-05-04T00:00:00"/>
    <m/>
    <s v="65831/2023/1"/>
    <s v="6368/2024/PO/DRE/CAC/ND"/>
    <n v="2424804"/>
    <n v="1454882.4"/>
    <n v="242480.40000000002"/>
    <d v="2024-02-22T00:00:00"/>
    <x v="0"/>
    <s v="Echue"/>
    <x v="0"/>
    <x v="1"/>
    <s v="OK"/>
    <x v="1"/>
    <n v="4331585"/>
    <n v="2598951"/>
  </r>
  <r>
    <n v="45430221886"/>
    <x v="2"/>
    <n v="93328024065"/>
    <s v="Maghreb Steel"/>
    <s v="Centre Affaires Gueliz"/>
    <s v="98206/2023/1"/>
    <s v="Mise en place"/>
    <x v="1"/>
    <n v="0.7"/>
    <d v="2023-03-19T00:00:00"/>
    <d v="2024-09-19T00:00:00"/>
    <s v="Réglé"/>
    <d v="2023-07-07T00:00:00"/>
    <d v="2024-02-12T00:00:00"/>
    <s v="OCTROI"/>
    <s v="Tamwilcom"/>
    <d v="2024-05-26T00:00:00"/>
    <m/>
    <s v="71485/2023/1"/>
    <s v="8491/2024/PO/DRE/CAC/ND"/>
    <n v="4331585"/>
    <n v="2598951"/>
    <n v="433158.5"/>
    <d v="2024-08-17T00:00:00"/>
    <x v="1"/>
    <s v="Echue"/>
    <x v="0"/>
    <x v="1"/>
    <s v="KO"/>
    <x v="0"/>
    <n v="4567991"/>
    <n v="2740794.6"/>
  </r>
  <r>
    <n v="27716318432"/>
    <x v="2"/>
    <n v="14350900687"/>
    <s v="Managem"/>
    <s v="Centre Affaires Hivernage"/>
    <s v="67092/2023/1"/>
    <s v="Mise en place"/>
    <x v="0"/>
    <n v="0.6"/>
    <d v="2023-12-16T00:00:00"/>
    <d v="2025-06-16T00:00:00"/>
    <s v="Réglé"/>
    <d v="2023-10-01T00:00:00"/>
    <d v="2024-12-14T00:00:00"/>
    <s v="OCTROI"/>
    <s v="Tamwilcom"/>
    <d v="2024-12-27T00:00:00"/>
    <m/>
    <s v="78978/2023/1"/>
    <s v="8499/2024/PO/DRE/CAC/ND"/>
    <n v="4567991"/>
    <n v="2740794.6"/>
    <n v="456799.10000000003"/>
    <d v="2024-04-23T00:00:00"/>
    <x v="0"/>
    <s v="Valide"/>
    <x v="1"/>
    <x v="0"/>
    <s v="OK"/>
    <x v="0"/>
    <n v="7518919"/>
    <n v="4511351.3999999994"/>
  </r>
  <r>
    <n v="13652145957"/>
    <x v="2"/>
    <n v="15657031586"/>
    <s v="Managem"/>
    <s v="Centre Affaires Hassan"/>
    <s v="97915/2023/1"/>
    <s v="Renouvellement"/>
    <x v="0"/>
    <n v="0.7"/>
    <d v="2023-03-31T00:00:00"/>
    <d v="2024-09-30T00:00:00"/>
    <s v="Pas réglé"/>
    <m/>
    <m/>
    <m/>
    <m/>
    <m/>
    <m/>
    <s v="12185/2023/1"/>
    <s v="4653/2024/PO/DRE/CAC/ND"/>
    <n v="7518919"/>
    <n v="4511351.3999999994"/>
    <n v="751891.9"/>
    <d v="2024-01-29T00:00:00"/>
    <x v="0"/>
    <s v="Valide"/>
    <x v="1"/>
    <x v="0"/>
    <s v="OK"/>
    <x v="0"/>
    <n v="5699678"/>
    <n v="3419806.8"/>
  </r>
  <r>
    <n v="13817591304"/>
    <x v="2"/>
    <n v="31283619428"/>
    <s v="Cosumar"/>
    <s v="Centre Affaires Palmier"/>
    <s v="57320/2023/1"/>
    <s v="Renouvellement"/>
    <x v="1"/>
    <n v="0.7"/>
    <d v="2023-05-23T00:00:00"/>
    <d v="2024-11-23T00:00:00"/>
    <s v="Pas réglé"/>
    <m/>
    <m/>
    <m/>
    <m/>
    <m/>
    <m/>
    <s v="74852/2023/1"/>
    <s v="9514/2024/PO/DRE/CAC/ND"/>
    <n v="5699678"/>
    <n v="3419806.8"/>
    <n v="569967.80000000005"/>
    <d v="2024-09-21T00:00:00"/>
    <x v="1"/>
    <s v="Valide"/>
    <x v="1"/>
    <x v="1"/>
    <s v="KO"/>
    <x v="0"/>
    <n v="1839502"/>
    <n v="1103701.2"/>
  </r>
  <r>
    <n v="30756182338"/>
    <x v="2"/>
    <n v="90102895514"/>
    <s v="2M Atlas"/>
    <s v="Centre Affaires Centre Ville"/>
    <s v="68187/2023/1"/>
    <s v="Renouvellement"/>
    <x v="1"/>
    <n v="0.6"/>
    <d v="2023-08-09T00:00:00"/>
    <d v="2025-02-09T00:00:00"/>
    <s v="Pas réglé"/>
    <m/>
    <m/>
    <m/>
    <m/>
    <m/>
    <m/>
    <s v="86531/2023/1"/>
    <s v="2742/2024/PO/DRE/CAC/ND"/>
    <n v="1839502"/>
    <n v="1103701.2"/>
    <n v="183950.2"/>
    <d v="2024-09-26T00:00:00"/>
    <x v="1"/>
    <s v="Valide"/>
    <x v="1"/>
    <x v="0"/>
    <s v="KO"/>
    <x v="0"/>
    <n v="2202840"/>
    <n v="1321704"/>
  </r>
  <r>
    <n v="91826336176"/>
    <x v="2"/>
    <n v="95828028610"/>
    <s v="Managem"/>
    <s v="Centre Affaires Hassan"/>
    <s v="83376/2023/1"/>
    <s v="Mise en place"/>
    <x v="0"/>
    <n v="0.6"/>
    <d v="2023-02-10T00:00:00"/>
    <d v="2024-08-10T00:00:00"/>
    <s v="Réglé"/>
    <d v="2023-12-19T00:00:00"/>
    <d v="2023-09-29T00:00:00"/>
    <s v="DOUNIALI"/>
    <s v="Tamwilcom"/>
    <d v="2024-07-02T00:00:00"/>
    <m/>
    <s v="84233/2023/1"/>
    <s v="9088/2024/PO/DRE/CAC/ND"/>
    <n v="2202840"/>
    <n v="1321704"/>
    <n v="220284"/>
    <d v="2024-02-23T00:00:00"/>
    <x v="0"/>
    <s v="Valide"/>
    <x v="1"/>
    <x v="1"/>
    <s v="OK"/>
    <x v="0"/>
    <n v="7533038"/>
    <n v="4519822.8"/>
  </r>
  <r>
    <n v="64609787583"/>
    <x v="2"/>
    <n v="43755167200"/>
    <s v="Ciments du Maroc"/>
    <s v="Centre Affaires Boughaz"/>
    <s v="86681/2023/1"/>
    <s v="Mise en place"/>
    <x v="0"/>
    <n v="0.6"/>
    <d v="2023-03-02T00:00:00"/>
    <d v="2024-09-02T00:00:00"/>
    <s v="Pas réglé"/>
    <m/>
    <m/>
    <m/>
    <m/>
    <m/>
    <m/>
    <s v="64365/2023/1"/>
    <s v="1195/2024/PO/DRE/CAC/ND"/>
    <n v="7533038"/>
    <n v="4519822.8"/>
    <n v="753303.8"/>
    <d v="2024-03-11T00:00:00"/>
    <x v="0"/>
    <s v="Valide"/>
    <x v="1"/>
    <x v="1"/>
    <s v="OK"/>
    <x v="0"/>
    <n v="6213290"/>
    <n v="3727974"/>
  </r>
  <r>
    <n v="42490153268"/>
    <x v="2"/>
    <n v="97425898714"/>
    <s v="Cosumar"/>
    <s v="Centre Affaires Hassan"/>
    <s v="94551/2023/1"/>
    <s v="Mise en place"/>
    <x v="0"/>
    <n v="0.7"/>
    <d v="2023-06-11T00:00:00"/>
    <d v="2024-12-11T00:00:00"/>
    <s v="Pas réglé"/>
    <m/>
    <m/>
    <m/>
    <m/>
    <m/>
    <m/>
    <s v="53223/2023/1"/>
    <s v="9096/2024/PO/DRE/CAC/ND"/>
    <n v="6213290"/>
    <n v="3727974"/>
    <n v="621329"/>
    <d v="2024-03-24T00:00:00"/>
    <x v="0"/>
    <s v="Echue"/>
    <x v="0"/>
    <x v="1"/>
    <s v="OK"/>
    <x v="0"/>
    <n v="2960057"/>
    <n v="1776034.2"/>
  </r>
  <r>
    <n v="44755172830"/>
    <x v="2"/>
    <n v="61827109730"/>
    <s v="Ciments du Maroc"/>
    <s v="Centre Affaires Chellah"/>
    <s v="36901/2023/1"/>
    <s v="Renouvellement"/>
    <x v="1"/>
    <n v="0.5"/>
    <d v="2023-01-03T00:00:00"/>
    <d v="2024-07-03T00:00:00"/>
    <s v="Pas réglé"/>
    <m/>
    <m/>
    <m/>
    <m/>
    <m/>
    <m/>
    <s v="58836/2023/1"/>
    <s v="1185/2024/PO/DRE/CAC/ND"/>
    <n v="2960057"/>
    <n v="1776034.2"/>
    <n v="296005.7"/>
    <d v="2024-07-22T00:00:00"/>
    <x v="1"/>
    <s v="Echue"/>
    <x v="0"/>
    <x v="1"/>
    <s v="KO"/>
    <x v="0"/>
    <n v="9807170"/>
    <n v="5884302"/>
  </r>
  <r>
    <n v="90510907050"/>
    <x v="2"/>
    <n v="99183734153"/>
    <s v="Ciments du Maroc"/>
    <s v="Centre Affaires Gueliz"/>
    <s v="70367/2023/1"/>
    <s v="Mise en place"/>
    <x v="1"/>
    <n v="0.6"/>
    <d v="2023-10-18T00:00:00"/>
    <d v="2025-04-18T00:00:00"/>
    <s v="Pas réglé"/>
    <m/>
    <m/>
    <m/>
    <m/>
    <m/>
    <m/>
    <s v="90205/2023/1"/>
    <s v="1939/2024/PO/DRE/CAC/ND"/>
    <n v="9807170"/>
    <n v="5884302"/>
    <n v="980717"/>
    <d v="2024-07-29T00:00:00"/>
    <x v="1"/>
    <s v="Echue"/>
    <x v="0"/>
    <x v="1"/>
    <s v="KO"/>
    <x v="1"/>
    <n v="3911730"/>
    <n v="2347038"/>
  </r>
  <r>
    <n v="58185391413"/>
    <x v="2"/>
    <n v="74442788126"/>
    <s v="Banque Populaire"/>
    <s v="Centre Affaires Chellah"/>
    <s v="48305/2023/1"/>
    <s v="Mise en place"/>
    <x v="1"/>
    <n v="0.5"/>
    <d v="2023-08-30T00:00:00"/>
    <d v="2025-02-28T00:00:00"/>
    <s v="Pas réglé"/>
    <m/>
    <m/>
    <m/>
    <m/>
    <m/>
    <m/>
    <s v="19553/2023/1"/>
    <s v="5061/2024/PO/DRE/CAC/ND"/>
    <n v="3911730"/>
    <n v="2347038"/>
    <n v="391173"/>
    <d v="2024-05-14T00:00:00"/>
    <x v="1"/>
    <s v="Valide"/>
    <x v="1"/>
    <x v="0"/>
    <s v="KO"/>
    <x v="1"/>
    <n v="1409052"/>
    <n v="845431.2"/>
  </r>
  <r>
    <n v="28442344162"/>
    <x v="2"/>
    <n v="19580412634"/>
    <s v="BMCE Bank"/>
    <s v="Centre Affaires Anfa"/>
    <s v="76586/2023/1"/>
    <s v="Renouvellement"/>
    <x v="1"/>
    <n v="0.6"/>
    <d v="2023-03-17T00:00:00"/>
    <d v="2024-09-17T00:00:00"/>
    <s v="Pas réglé"/>
    <m/>
    <m/>
    <m/>
    <m/>
    <m/>
    <m/>
    <s v="14066/2023/1"/>
    <s v="9129/2024/PO/DRE/CAC/ND"/>
    <n v="1409052"/>
    <n v="845431.2"/>
    <n v="140905.20000000001"/>
    <d v="2024-11-27T00:00:00"/>
    <x v="1"/>
    <s v="Echue"/>
    <x v="0"/>
    <x v="0"/>
    <s v="KO"/>
    <x v="1"/>
    <n v="4783311"/>
    <n v="2869986.6"/>
  </r>
  <r>
    <n v="71187957393"/>
    <x v="2"/>
    <n v="36180859921"/>
    <s v="Cosumar"/>
    <s v="Centre Affaires Hassan"/>
    <s v="60855/2023/1"/>
    <s v="Renouvellement"/>
    <x v="0"/>
    <n v="0.6"/>
    <d v="2023-12-16T00:00:00"/>
    <d v="2025-06-16T00:00:00"/>
    <s v="Pas réglé"/>
    <m/>
    <m/>
    <m/>
    <m/>
    <m/>
    <m/>
    <s v="78298/2023/1"/>
    <s v="2113/2024/PO/DRE/CAC/ND"/>
    <n v="4783311"/>
    <n v="2869986.6"/>
    <n v="478331.10000000003"/>
    <d v="2024-11-29T00:00:00"/>
    <x v="0"/>
    <s v="Echue"/>
    <x v="0"/>
    <x v="0"/>
    <s v="OK"/>
    <x v="1"/>
    <n v="6000277"/>
    <n v="3600166.1999999997"/>
  </r>
  <r>
    <n v="34408352233"/>
    <x v="2"/>
    <n v="11921540807"/>
    <s v="Cosumar"/>
    <s v="Centre Affaires Maarif"/>
    <s v="33270/2023/1"/>
    <s v="Mise en place"/>
    <x v="0"/>
    <n v="0.6"/>
    <d v="2023-06-10T00:00:00"/>
    <d v="2024-12-10T00:00:00"/>
    <s v="Réglé"/>
    <d v="2023-11-15T00:00:00"/>
    <d v="2023-12-15T00:00:00"/>
    <s v="DOUNIALI"/>
    <s v="Front"/>
    <d v="2024-03-03T00:00:00"/>
    <m/>
    <s v="82123/2023/1"/>
    <s v="6309/2024/PO/DRE/CAC/ND"/>
    <n v="6000277"/>
    <n v="3600166.1999999997"/>
    <n v="600027.70000000007"/>
    <d v="2024-06-25T00:00:00"/>
    <x v="0"/>
    <s v="Valide"/>
    <x v="1"/>
    <x v="0"/>
    <s v="OK"/>
    <x v="1"/>
    <n v="7025343"/>
    <n v="4215205.8"/>
  </r>
  <r>
    <n v="39321675643"/>
    <x v="2"/>
    <n v="44754783151"/>
    <s v="Ciments du Maroc"/>
    <s v="Centre Affaires Hivernage"/>
    <s v="13929/2023/1"/>
    <s v="Mise en place"/>
    <x v="1"/>
    <n v="0.6"/>
    <d v="2023-02-04T00:00:00"/>
    <d v="2024-08-04T00:00:00"/>
    <s v="Pas réglé"/>
    <m/>
    <m/>
    <m/>
    <m/>
    <m/>
    <m/>
    <s v="26348/2023/1"/>
    <s v="1753/2024/PO/DRE/CAC/ND"/>
    <n v="7025343"/>
    <n v="4215205.8"/>
    <n v="702534.3"/>
    <d v="2024-09-05T00:00:00"/>
    <x v="1"/>
    <s v="Echue"/>
    <x v="0"/>
    <x v="1"/>
    <s v="KO"/>
    <x v="1"/>
    <n v="1425312"/>
    <n v="855187.2"/>
  </r>
  <r>
    <n v="94244707171"/>
    <x v="2"/>
    <n v="22904334511"/>
    <s v="Maghreb Steel"/>
    <s v="Centre Affaires Hassan"/>
    <s v="31627/2023/1"/>
    <s v="Renouvellement"/>
    <x v="1"/>
    <n v="0.7"/>
    <d v="2023-01-17T00:00:00"/>
    <d v="2024-07-17T00:00:00"/>
    <s v="Réglé"/>
    <d v="2023-11-12T00:00:00"/>
    <d v="2023-09-07T00:00:00"/>
    <s v="DOUNIALI"/>
    <s v="Front"/>
    <d v="2024-02-08T00:00:00"/>
    <m/>
    <s v="27365/2023/1"/>
    <s v="9465/2024/PO/DRE/CAC/ND"/>
    <n v="1425312"/>
    <n v="855187.2"/>
    <n v="142531.20000000001"/>
    <d v="2024-11-20T00:00:00"/>
    <x v="1"/>
    <s v="Valide"/>
    <x v="1"/>
    <x v="1"/>
    <s v="KO"/>
    <x v="1"/>
    <n v="8947069"/>
    <n v="5368241.3999999994"/>
  </r>
  <r>
    <n v="36577675320"/>
    <x v="2"/>
    <n v="90333449470"/>
    <s v="Société Générale Maroc"/>
    <s v="Centre Affaires Chellah"/>
    <s v="66998/2023/1"/>
    <s v="Renouvellement"/>
    <x v="1"/>
    <n v="0.6"/>
    <d v="2023-09-23T00:00:00"/>
    <d v="2025-03-23T00:00:00"/>
    <s v="Pas réglé"/>
    <m/>
    <m/>
    <m/>
    <m/>
    <m/>
    <m/>
    <s v="43231/2023/1"/>
    <s v="3010/2024/PO/DRE/CAC/ND"/>
    <n v="8947069"/>
    <n v="5368241.3999999994"/>
    <n v="894706.9"/>
    <d v="2024-11-10T00:00:00"/>
    <x v="1"/>
    <s v="Valide"/>
    <x v="1"/>
    <x v="0"/>
    <s v="KO"/>
    <x v="0"/>
    <n v="4575472"/>
    <n v="2745283.1999999997"/>
  </r>
  <r>
    <n v="20530634152"/>
    <x v="3"/>
    <n v="83579924493"/>
    <s v="Cosumar"/>
    <s v="Centre Affaires Chellah"/>
    <s v="91779/2023/1"/>
    <s v="Renouvellement"/>
    <x v="0"/>
    <n v="0.6"/>
    <d v="2023-06-13T00:00:00"/>
    <d v="2024-12-13T00:00:00"/>
    <s v="Pas réglé"/>
    <m/>
    <m/>
    <m/>
    <m/>
    <m/>
    <m/>
    <s v="25909/2023/1"/>
    <s v="4665/2024/PO/DRE/CAC/ND"/>
    <n v="4575472"/>
    <n v="2745283.1999999997"/>
    <n v="457547.2"/>
    <d v="2024-01-31T00:00:00"/>
    <x v="0"/>
    <s v="Valide"/>
    <x v="1"/>
    <x v="0"/>
    <s v="OK"/>
    <x v="0"/>
    <n v="2555441"/>
    <n v="1533264.5999999999"/>
  </r>
  <r>
    <n v="92098251260"/>
    <x v="3"/>
    <n v="65155394442"/>
    <s v="Maghreb Steel"/>
    <s v="Centre Affaires Centre Ville"/>
    <s v="44947/2023/1"/>
    <s v="Renouvellement"/>
    <x v="0"/>
    <n v="0.5"/>
    <d v="2023-03-29T00:00:00"/>
    <d v="2024-09-29T00:00:00"/>
    <s v="Réglé"/>
    <d v="2023-05-20T00:00:00"/>
    <d v="2023-08-25T00:00:00"/>
    <s v="DOUNIALI"/>
    <s v="Tamwilcom"/>
    <d v="2024-03-04T00:00:00"/>
    <m/>
    <s v="12479/2023/1"/>
    <s v="6007/2024/PO/DRE/CAC/ND"/>
    <n v="2555441"/>
    <n v="1533264.5999999999"/>
    <n v="255544.1"/>
    <d v="2024-09-08T00:00:00"/>
    <x v="0"/>
    <s v="Echue"/>
    <x v="0"/>
    <x v="0"/>
    <s v="OK"/>
    <x v="0"/>
    <n v="8400882"/>
    <n v="5040529.2"/>
  </r>
  <r>
    <n v="27302093482"/>
    <x v="3"/>
    <n v="86360720855"/>
    <s v="Société Générale Maroc"/>
    <s v="Centre Affaires Centre Ville"/>
    <s v="96940/2023/1"/>
    <s v="Renouvellement"/>
    <x v="1"/>
    <n v="0.6"/>
    <d v="2023-04-05T00:00:00"/>
    <d v="2024-10-05T00:00:00"/>
    <s v="Réglé"/>
    <d v="2023-02-19T00:00:00"/>
    <d v="2023-09-16T00:00:00"/>
    <s v="DOUNIALI"/>
    <s v="Front"/>
    <d v="2024-04-12T00:00:00"/>
    <m/>
    <s v="91746/2023/1"/>
    <s v="8447/2024/PO/DRE/CAC/ND"/>
    <n v="8400882"/>
    <n v="5040529.2"/>
    <n v="840088.20000000007"/>
    <d v="2024-09-18T00:00:00"/>
    <x v="1"/>
    <s v="Echue"/>
    <x v="0"/>
    <x v="1"/>
    <s v="KO"/>
    <x v="1"/>
    <n v="9190116"/>
    <n v="5514069.5999999996"/>
  </r>
  <r>
    <n v="88988449834"/>
    <x v="3"/>
    <n v="57095014300"/>
    <s v="Banque Populaire"/>
    <s v="Centre Affaires Hivernage"/>
    <s v="60653/2023/1"/>
    <s v="Mise en place"/>
    <x v="0"/>
    <n v="0.7"/>
    <d v="2023-12-17T00:00:00"/>
    <d v="2025-06-17T00:00:00"/>
    <s v="Réglé"/>
    <d v="2023-06-30T00:00:00"/>
    <d v="2024-04-06T00:00:00"/>
    <s v="OCTROI"/>
    <s v="Tamwilcom"/>
    <d v="2024-05-04T00:00:00"/>
    <m/>
    <s v="88429/2023/1"/>
    <s v="1355/2024/PO/DRE/CAC/ND"/>
    <n v="9190116"/>
    <n v="5514069.5999999996"/>
    <n v="919011.60000000009"/>
    <d v="2024-02-08T00:00:00"/>
    <x v="0"/>
    <s v="Echue"/>
    <x v="0"/>
    <x v="0"/>
    <s v="OK"/>
    <x v="0"/>
    <n v="2156414"/>
    <n v="1293848.3999999999"/>
  </r>
  <r>
    <n v="86216763154"/>
    <x v="3"/>
    <n v="74476106353"/>
    <s v="Cosumar"/>
    <s v="Centre Affaires Hassan"/>
    <s v="99607/2023/1"/>
    <s v="Mise en place"/>
    <x v="0"/>
    <n v="0.7"/>
    <d v="2023-06-04T00:00:00"/>
    <d v="2024-12-04T00:00:00"/>
    <s v="Pas réglé"/>
    <m/>
    <m/>
    <m/>
    <m/>
    <m/>
    <m/>
    <s v="90943/2023/1"/>
    <s v="1441/2024/PO/DRE/CAC/ND"/>
    <n v="2156414"/>
    <n v="1293848.3999999999"/>
    <n v="215641.40000000002"/>
    <d v="2024-08-29T00:00:00"/>
    <x v="0"/>
    <s v="Echue"/>
    <x v="0"/>
    <x v="1"/>
    <s v="OK"/>
    <x v="0"/>
    <n v="8535451"/>
    <n v="5121270.5999999996"/>
  </r>
  <r>
    <n v="72858919209"/>
    <x v="3"/>
    <n v="80578085777"/>
    <s v="Maghreb Steel"/>
    <s v="Centre Affaires Palmier"/>
    <s v="94855/2023/1"/>
    <s v="Renouvellement"/>
    <x v="0"/>
    <n v="0.5"/>
    <d v="2023-01-30T00:00:00"/>
    <d v="2024-07-30T00:00:00"/>
    <s v="Réglé"/>
    <d v="2023-05-27T00:00:00"/>
    <d v="2023-03-22T00:00:00"/>
    <s v="OCTROI"/>
    <s v="Tamwilcom"/>
    <d v="2024-03-26T00:00:00"/>
    <m/>
    <s v="26870/2023/1"/>
    <s v="9289/2024/PO/DRE/CAC/ND"/>
    <n v="8535451"/>
    <n v="5121270.5999999996"/>
    <n v="853545.10000000009"/>
    <d v="2024-12-17T00:00:00"/>
    <x v="0"/>
    <s v="Echue"/>
    <x v="0"/>
    <x v="0"/>
    <s v="OK"/>
    <x v="0"/>
    <n v="7228120"/>
    <n v="4336872"/>
  </r>
  <r>
    <n v="43915513940"/>
    <x v="3"/>
    <n v="33304354480"/>
    <s v="Banque Populaire"/>
    <s v="Centre Affaires Maarif"/>
    <s v="19106/2023/1"/>
    <s v="Mise en place"/>
    <x v="0"/>
    <n v="0.5"/>
    <d v="2023-11-20T00:00:00"/>
    <d v="2025-05-20T00:00:00"/>
    <s v="Réglé"/>
    <d v="2023-03-05T00:00:00"/>
    <d v="2024-04-28T00:00:00"/>
    <s v="OCTROI"/>
    <s v="Front"/>
    <d v="2024-08-22T00:00:00"/>
    <m/>
    <s v="94359/2023/1"/>
    <s v="2751/2024/PO/DRE/CAC/ND"/>
    <n v="7228120"/>
    <n v="4336872"/>
    <n v="722812"/>
    <d v="2024-08-19T00:00:00"/>
    <x v="0"/>
    <s v="Echue"/>
    <x v="0"/>
    <x v="1"/>
    <s v="OK"/>
    <x v="0"/>
    <n v="1036352"/>
    <n v="621811.19999999995"/>
  </r>
  <r>
    <n v="55795634535"/>
    <x v="3"/>
    <n v="58116706721"/>
    <s v="Ciments du Maroc"/>
    <s v="Centre Affaires Chellah"/>
    <s v="30814/2023/1"/>
    <s v="Renouvellement"/>
    <x v="1"/>
    <n v="0.6"/>
    <d v="2023-12-30T00:00:00"/>
    <d v="2025-06-30T00:00:00"/>
    <s v="Pas réglé"/>
    <m/>
    <m/>
    <m/>
    <m/>
    <m/>
    <m/>
    <s v="90135/2023/1"/>
    <s v="4578/2024/PO/DRE/CAC/ND"/>
    <n v="1036352"/>
    <n v="621811.19999999995"/>
    <n v="103635.20000000001"/>
    <d v="2024-02-29T00:00:00"/>
    <x v="1"/>
    <s v="Valide"/>
    <x v="1"/>
    <x v="0"/>
    <s v="KO"/>
    <x v="0"/>
    <n v="7762482"/>
    <n v="4657489.2"/>
  </r>
  <r>
    <n v="11442564062"/>
    <x v="3"/>
    <n v="28464991020"/>
    <s v="2M Atlas"/>
    <s v="Centre Affaires Chellah"/>
    <s v="16337/2023/1"/>
    <s v="Mise en place"/>
    <x v="0"/>
    <n v="0.6"/>
    <d v="2023-03-11T00:00:00"/>
    <d v="2024-09-11T00:00:00"/>
    <s v="Réglé"/>
    <d v="2023-04-20T00:00:00"/>
    <d v="2023-05-26T00:00:00"/>
    <s v="DOUNIALI"/>
    <s v="Front"/>
    <d v="2024-08-24T00:00:00"/>
    <m/>
    <s v="72145/2023/1"/>
    <s v="7681/2024/PO/DRE/CAC/ND"/>
    <n v="7762482"/>
    <n v="4657489.2"/>
    <n v="776248.20000000007"/>
    <d v="2024-03-03T00:00:00"/>
    <x v="0"/>
    <s v="Valide"/>
    <x v="1"/>
    <x v="1"/>
    <s v="OK"/>
    <x v="1"/>
    <n v="7023939"/>
    <n v="4214363.3999999994"/>
  </r>
  <r>
    <n v="57374120374"/>
    <x v="3"/>
    <n v="49660732382"/>
    <s v="Maroc Telecom"/>
    <s v="Centre Affaires Anfa"/>
    <s v="89860/2023/1"/>
    <s v="Renouvellement"/>
    <x v="0"/>
    <n v="0.7"/>
    <d v="2023-04-08T00:00:00"/>
    <d v="2024-10-08T00:00:00"/>
    <s v="Pas réglé"/>
    <m/>
    <m/>
    <m/>
    <m/>
    <m/>
    <m/>
    <s v="59971/2023/1"/>
    <s v="8936/2024/PO/DRE/CAC/ND"/>
    <n v="7023939"/>
    <n v="4214363.3999999994"/>
    <n v="702393.9"/>
    <d v="2024-11-19T00:00:00"/>
    <x v="0"/>
    <s v="Valide"/>
    <x v="1"/>
    <x v="0"/>
    <s v="OK"/>
    <x v="0"/>
    <n v="2093208"/>
    <n v="1255924.8"/>
  </r>
  <r>
    <n v="49320268100"/>
    <x v="3"/>
    <n v="10941113130"/>
    <s v="BMCE Bank"/>
    <s v="Centre Affaires Gueliz"/>
    <s v="10916/2023/1"/>
    <s v="Mise en place"/>
    <x v="0"/>
    <n v="0.5"/>
    <d v="2023-12-17T00:00:00"/>
    <d v="2025-06-17T00:00:00"/>
    <s v="Pas réglé"/>
    <m/>
    <m/>
    <m/>
    <m/>
    <m/>
    <m/>
    <s v="55816/2023/1"/>
    <s v="2837/2024/PO/DRE/CAC/ND"/>
    <n v="2093208"/>
    <n v="1255924.8"/>
    <n v="209320.80000000002"/>
    <d v="2024-07-21T00:00:00"/>
    <x v="0"/>
    <s v="Valide"/>
    <x v="1"/>
    <x v="0"/>
    <s v="OK"/>
    <x v="1"/>
    <n v="1556696"/>
    <n v="934017.6"/>
  </r>
  <r>
    <n v="80945482033"/>
    <x v="3"/>
    <n v="50593399622"/>
    <s v="Société Générale Maroc"/>
    <s v="Centre Affaires Hassan"/>
    <s v="75603/2023/1"/>
    <s v="Renouvellement"/>
    <x v="0"/>
    <n v="0.5"/>
    <d v="2023-08-08T00:00:00"/>
    <d v="2025-02-08T00:00:00"/>
    <s v="Réglé"/>
    <d v="2023-01-07T00:00:00"/>
    <d v="2024-05-14T00:00:00"/>
    <s v="DOUNIALI"/>
    <s v="Front"/>
    <d v="2024-08-13T00:00:00"/>
    <m/>
    <s v="14628/2023/1"/>
    <s v="3549/2024/PO/DRE/CAC/ND"/>
    <n v="1556696"/>
    <n v="934017.6"/>
    <n v="155669.6"/>
    <d v="2024-12-28T00:00:00"/>
    <x v="0"/>
    <s v="Echue"/>
    <x v="0"/>
    <x v="0"/>
    <s v="OK"/>
    <x v="0"/>
    <n v="8956168"/>
    <n v="5373700.7999999998"/>
  </r>
  <r>
    <n v="87102806851"/>
    <x v="3"/>
    <n v="36198900777"/>
    <s v="Maghreb Steel"/>
    <s v="Centre Affaires Chellah"/>
    <s v="35753/2023/1"/>
    <s v="Renouvellement"/>
    <x v="1"/>
    <n v="0.5"/>
    <d v="2023-08-02T00:00:00"/>
    <d v="2025-02-02T00:00:00"/>
    <s v="Réglé"/>
    <d v="2023-08-31T00:00:00"/>
    <d v="2024-01-13T00:00:00"/>
    <s v="OCTROI"/>
    <s v="Front"/>
    <d v="2024-01-05T00:00:00"/>
    <m/>
    <s v="35413/2023/1"/>
    <s v="8237/2024/PO/DRE/CAC/ND"/>
    <n v="8956168"/>
    <n v="5373700.7999999998"/>
    <n v="895616.8"/>
    <d v="2024-08-03T00:00:00"/>
    <x v="1"/>
    <s v="Echue"/>
    <x v="0"/>
    <x v="1"/>
    <s v="KO"/>
    <x v="1"/>
    <n v="3080410"/>
    <n v="1848246"/>
  </r>
  <r>
    <n v="57663965179"/>
    <x v="3"/>
    <n v="50654538068"/>
    <s v="Société Générale Maroc"/>
    <s v="Centre Affaires Maarif"/>
    <s v="28297/2023/1"/>
    <s v="Renouvellement"/>
    <x v="0"/>
    <n v="0.6"/>
    <d v="2023-05-18T00:00:00"/>
    <d v="2024-11-18T00:00:00"/>
    <s v="Réglé"/>
    <d v="2023-12-15T00:00:00"/>
    <d v="2024-03-12T00:00:00"/>
    <s v="OCTROI"/>
    <s v="Front"/>
    <d v="2024-03-14T00:00:00"/>
    <m/>
    <s v="60748/2023/1"/>
    <s v="4108/2024/PO/DRE/CAC/ND"/>
    <n v="3080410"/>
    <n v="1848246"/>
    <n v="308041"/>
    <d v="2024-10-21T00:00:00"/>
    <x v="0"/>
    <s v="Echue"/>
    <x v="0"/>
    <x v="0"/>
    <s v="OK"/>
    <x v="0"/>
    <n v="8980314"/>
    <n v="5388188.3999999994"/>
  </r>
  <r>
    <n v="67383358097"/>
    <x v="3"/>
    <n v="88499965088"/>
    <s v="2M Atlas"/>
    <s v="Centre Affaires Hivernage"/>
    <s v="96225/2023/1"/>
    <s v="Renouvellement"/>
    <x v="1"/>
    <n v="0.7"/>
    <d v="2023-02-17T00:00:00"/>
    <d v="2024-08-17T00:00:00"/>
    <s v="Réglé"/>
    <d v="2023-08-02T00:00:00"/>
    <d v="2023-07-01T00:00:00"/>
    <s v="DOUNIALI"/>
    <s v="Tamwilcom"/>
    <d v="2024-01-07T00:00:00"/>
    <m/>
    <s v="45263/2023/1"/>
    <s v="2531/2024/PO/DRE/CAC/ND"/>
    <n v="8980314"/>
    <n v="5388188.3999999994"/>
    <n v="898031.4"/>
    <d v="2024-04-29T00:00:00"/>
    <x v="1"/>
    <s v="Valide"/>
    <x v="1"/>
    <x v="0"/>
    <s v="KO"/>
    <x v="1"/>
    <n v="8949504"/>
    <n v="5369702.3999999994"/>
  </r>
  <r>
    <n v="41092127069"/>
    <x v="3"/>
    <n v="58176824479"/>
    <s v="2M Atlas"/>
    <s v="Centre Affaires Centre Ville"/>
    <s v="67052/2023/1"/>
    <s v="Renouvellement"/>
    <x v="0"/>
    <n v="0.6"/>
    <d v="2023-08-22T00:00:00"/>
    <d v="2025-02-22T00:00:00"/>
    <s v="Réglé"/>
    <d v="2023-03-26T00:00:00"/>
    <d v="2023-10-26T00:00:00"/>
    <s v="OCTROI"/>
    <s v="Tamwilcom"/>
    <d v="2024-11-07T00:00:00"/>
    <m/>
    <s v="28335/2023/1"/>
    <s v="3053/2024/PO/DRE/CAC/ND"/>
    <n v="8949504"/>
    <n v="5369702.3999999994"/>
    <n v="894950.40000000002"/>
    <d v="2024-09-05T00:00:00"/>
    <x v="0"/>
    <s v="Echue"/>
    <x v="0"/>
    <x v="1"/>
    <s v="OK"/>
    <x v="1"/>
    <n v="1355919"/>
    <n v="813551.4"/>
  </r>
  <r>
    <n v="27124634755"/>
    <x v="3"/>
    <n v="37580754018"/>
    <s v="Managem"/>
    <s v="Centre Affaires Centre Ville"/>
    <s v="47271/2023/1"/>
    <s v="Renouvellement"/>
    <x v="0"/>
    <n v="0.6"/>
    <d v="2023-02-03T00:00:00"/>
    <d v="2024-08-03T00:00:00"/>
    <s v="Pas réglé"/>
    <m/>
    <m/>
    <m/>
    <m/>
    <m/>
    <m/>
    <s v="44280/2023/1"/>
    <s v="1431/2024/PO/DRE/CAC/ND"/>
    <n v="1355919"/>
    <n v="813551.4"/>
    <n v="135591.9"/>
    <d v="2024-08-14T00:00:00"/>
    <x v="0"/>
    <s v="Valide"/>
    <x v="1"/>
    <x v="1"/>
    <s v="OK"/>
    <x v="1"/>
    <n v="2642214"/>
    <n v="1585328.4"/>
  </r>
  <r>
    <n v="81223462869"/>
    <x v="3"/>
    <n v="72160923027"/>
    <s v="Maroc Telecom"/>
    <s v="Centre Affaires Boughaz"/>
    <s v="91079/2023/1"/>
    <s v="Mise en place"/>
    <x v="1"/>
    <n v="0.6"/>
    <d v="2023-07-18T00:00:00"/>
    <d v="2025-01-18T00:00:00"/>
    <s v="Réglé"/>
    <d v="2023-01-14T00:00:00"/>
    <d v="2024-04-24T00:00:00"/>
    <s v="OCTROI"/>
    <s v="Tamwilcom"/>
    <d v="2024-08-06T00:00:00"/>
    <m/>
    <s v="44553/2023/1"/>
    <s v="1634/2024/PO/DRE/CAC/ND"/>
    <n v="2642214"/>
    <n v="1585328.4"/>
    <n v="264221.40000000002"/>
    <d v="2024-01-12T00:00:00"/>
    <x v="1"/>
    <s v="Echue"/>
    <x v="0"/>
    <x v="1"/>
    <s v="KO"/>
    <x v="0"/>
    <n v="9013098"/>
    <n v="5407858.7999999998"/>
  </r>
  <r>
    <n v="78586936554"/>
    <x v="3"/>
    <n v="15450731894"/>
    <s v="Cosumar"/>
    <s v="Centre Affaires Anfa"/>
    <s v="26663/2023/1"/>
    <s v="Renouvellement"/>
    <x v="0"/>
    <n v="0.6"/>
    <d v="2023-11-03T00:00:00"/>
    <d v="2025-05-03T00:00:00"/>
    <s v="Réglé"/>
    <d v="2023-05-28T00:00:00"/>
    <d v="2023-11-25T00:00:00"/>
    <s v="DOUNIALI"/>
    <s v="Tamwilcom"/>
    <d v="2024-01-17T00:00:00"/>
    <m/>
    <s v="61731/2023/1"/>
    <s v="9806/2024/PO/DRE/CAC/ND"/>
    <n v="9013098"/>
    <n v="5407858.7999999998"/>
    <n v="901309.8"/>
    <d v="2024-03-07T00:00:00"/>
    <x v="0"/>
    <s v="Echue"/>
    <x v="0"/>
    <x v="0"/>
    <s v="OK"/>
    <x v="0"/>
    <n v="7862688"/>
    <n v="4717612.8"/>
  </r>
  <r>
    <n v="92036090690"/>
    <x v="3"/>
    <n v="52117809786"/>
    <s v="Managem"/>
    <s v="Centre Affaires Agdal"/>
    <s v="29660/2023/1"/>
    <s v="Renouvellement"/>
    <x v="1"/>
    <n v="0.6"/>
    <d v="2023-01-01T00:00:00"/>
    <d v="2024-07-01T00:00:00"/>
    <s v="Réglé"/>
    <d v="2023-10-18T00:00:00"/>
    <d v="2023-12-09T00:00:00"/>
    <s v="DOUNIALI"/>
    <s v="Tamwilcom"/>
    <d v="2024-12-27T00:00:00"/>
    <m/>
    <s v="63371/2023/1"/>
    <s v="4160/2024/PO/DRE/CAC/ND"/>
    <n v="7862688"/>
    <n v="4717612.8"/>
    <n v="786268.8"/>
    <d v="2024-08-29T00:00:00"/>
    <x v="1"/>
    <s v="Echue"/>
    <x v="0"/>
    <x v="1"/>
    <s v="KO"/>
    <x v="0"/>
    <n v="1475398"/>
    <n v="885238.79999999993"/>
  </r>
  <r>
    <n v="33013621436"/>
    <x v="3"/>
    <n v="76556099919"/>
    <s v="Cosumar"/>
    <s v="Centre Affaires Centre Ville"/>
    <s v="24302/2023/1"/>
    <s v="Mise en place"/>
    <x v="0"/>
    <n v="0.5"/>
    <d v="2023-09-01T00:00:00"/>
    <d v="2025-03-01T00:00:00"/>
    <s v="Pas réglé"/>
    <m/>
    <m/>
    <m/>
    <m/>
    <m/>
    <m/>
    <s v="56064/2023/1"/>
    <s v="2087/2024/PO/DRE/CAC/ND"/>
    <n v="1475398"/>
    <n v="885238.79999999993"/>
    <n v="147539.80000000002"/>
    <d v="2024-09-05T00:00:00"/>
    <x v="0"/>
    <s v="Echue"/>
    <x v="0"/>
    <x v="1"/>
    <s v="OK"/>
    <x v="0"/>
    <n v="3936430"/>
    <n v="2361858"/>
  </r>
  <r>
    <n v="12603974760"/>
    <x v="3"/>
    <n v="41029292219"/>
    <s v="Maroc Telecom"/>
    <s v="Centre Affaires Anfa"/>
    <s v="51537/2023/1"/>
    <s v="Renouvellement"/>
    <x v="1"/>
    <n v="0.6"/>
    <d v="2023-12-17T00:00:00"/>
    <d v="2025-06-17T00:00:00"/>
    <s v="Réglé"/>
    <d v="2023-01-04T00:00:00"/>
    <d v="2024-03-02T00:00:00"/>
    <s v="DOUNIALI"/>
    <s v="Front"/>
    <d v="2024-10-12T00:00:00"/>
    <m/>
    <s v="45550/2023/1"/>
    <s v="2719/2024/PO/DRE/CAC/ND"/>
    <n v="3936430"/>
    <n v="2361858"/>
    <n v="393643"/>
    <d v="2024-07-07T00:00:00"/>
    <x v="1"/>
    <s v="Valide"/>
    <x v="1"/>
    <x v="1"/>
    <s v="KO"/>
    <x v="1"/>
    <n v="1239314"/>
    <n v="743588.4"/>
  </r>
  <r>
    <n v="55680405319"/>
    <x v="3"/>
    <n v="16390889055"/>
    <s v="Maghreb Steel"/>
    <s v="Centre Affaires Hassan"/>
    <s v="53476/2023/1"/>
    <s v="Renouvellement"/>
    <x v="1"/>
    <n v="0.6"/>
    <d v="2023-11-17T00:00:00"/>
    <d v="2025-05-17T00:00:00"/>
    <s v="Pas réglé"/>
    <m/>
    <m/>
    <m/>
    <m/>
    <m/>
    <m/>
    <s v="11143/2023/1"/>
    <s v="6733/2024/PO/DRE/CAC/ND"/>
    <n v="1239314"/>
    <n v="743588.4"/>
    <n v="123931.40000000001"/>
    <d v="2024-04-20T00:00:00"/>
    <x v="1"/>
    <s v="Valide"/>
    <x v="1"/>
    <x v="1"/>
    <s v="KO"/>
    <x v="1"/>
    <n v="7979890"/>
    <n v="4787934"/>
  </r>
  <r>
    <n v="91015401072"/>
    <x v="3"/>
    <n v="60003459882"/>
    <s v="2M Atlas"/>
    <s v="Centre Affaires Hivernage"/>
    <s v="79456/2023/1"/>
    <s v="Renouvellement"/>
    <x v="1"/>
    <n v="0.6"/>
    <d v="2023-02-21T00:00:00"/>
    <d v="2024-08-21T00:00:00"/>
    <s v="Pas réglé"/>
    <m/>
    <m/>
    <m/>
    <m/>
    <m/>
    <m/>
    <s v="24410/2023/1"/>
    <s v="2171/2024/PO/DRE/CAC/ND"/>
    <n v="7979890"/>
    <n v="4787934"/>
    <n v="797989"/>
    <d v="2024-10-03T00:00:00"/>
    <x v="1"/>
    <s v="Echue"/>
    <x v="0"/>
    <x v="1"/>
    <s v="KO"/>
    <x v="0"/>
    <n v="3267605"/>
    <n v="1960563"/>
  </r>
  <r>
    <n v="29557451448"/>
    <x v="3"/>
    <n v="82668965269"/>
    <s v="2M Atlas"/>
    <s v="Centre Affaires Chellah"/>
    <s v="26941/2023/1"/>
    <s v="Mise en place"/>
    <x v="1"/>
    <n v="0.5"/>
    <d v="2023-11-17T00:00:00"/>
    <d v="2025-05-17T00:00:00"/>
    <s v="Pas réglé"/>
    <m/>
    <m/>
    <m/>
    <m/>
    <m/>
    <m/>
    <s v="30562/2023/1"/>
    <s v="9093/2024/PO/DRE/CAC/ND"/>
    <n v="3267605"/>
    <n v="1960563"/>
    <n v="326760.5"/>
    <d v="2024-02-16T00:00:00"/>
    <x v="1"/>
    <s v="Echue"/>
    <x v="0"/>
    <x v="0"/>
    <s v="KO"/>
    <x v="0"/>
    <n v="1470749"/>
    <n v="882449.4"/>
  </r>
  <r>
    <n v="98968636608"/>
    <x v="3"/>
    <n v="37484066553"/>
    <s v="Maghreb Steel"/>
    <s v="Centre Affaires Anfa"/>
    <s v="58387/2023/1"/>
    <s v="Renouvellement"/>
    <x v="0"/>
    <n v="0.7"/>
    <d v="2023-10-10T00:00:00"/>
    <d v="2025-04-10T00:00:00"/>
    <s v="Pas réglé"/>
    <m/>
    <m/>
    <m/>
    <m/>
    <m/>
    <m/>
    <s v="62053/2023/1"/>
    <s v="5236/2024/PO/DRE/CAC/ND"/>
    <n v="1470749"/>
    <n v="882449.4"/>
    <n v="147074.9"/>
    <d v="2024-07-16T00:00:00"/>
    <x v="0"/>
    <s v="Valide"/>
    <x v="1"/>
    <x v="0"/>
    <s v="OK"/>
    <x v="0"/>
    <n v="1277109"/>
    <n v="766265.4"/>
  </r>
  <r>
    <n v="15186797141"/>
    <x v="3"/>
    <n v="96350595838"/>
    <s v="BMCE Bank"/>
    <s v="Centre Affaires Palmier"/>
    <s v="92701/2023/1"/>
    <s v="Renouvellement"/>
    <x v="0"/>
    <n v="0.7"/>
    <d v="2023-06-28T00:00:00"/>
    <d v="2024-12-28T00:00:00"/>
    <s v="Pas réglé"/>
    <m/>
    <m/>
    <m/>
    <m/>
    <m/>
    <m/>
    <s v="12461/2023/1"/>
    <s v="6781/2024/PO/DRE/CAC/ND"/>
    <n v="1277109"/>
    <n v="766265.4"/>
    <n v="127710.90000000001"/>
    <d v="2024-01-23T00:00:00"/>
    <x v="0"/>
    <s v="Echue"/>
    <x v="0"/>
    <x v="1"/>
    <s v="OK"/>
    <x v="0"/>
    <n v="9838401"/>
    <n v="5903040.5999999996"/>
  </r>
  <r>
    <n v="43247093360"/>
    <x v="3"/>
    <n v="86077305905"/>
    <s v="Ciments du Maroc"/>
    <s v="Centre Affaires Chellah"/>
    <s v="52744/2023/1"/>
    <s v="Renouvellement"/>
    <x v="1"/>
    <n v="0.6"/>
    <d v="2023-07-12T00:00:00"/>
    <d v="2025-01-12T00:00:00"/>
    <s v="Réglé"/>
    <d v="2023-11-14T00:00:00"/>
    <d v="2024-02-04T00:00:00"/>
    <s v="OCTROI"/>
    <s v="Front"/>
    <d v="2024-04-20T00:00:00"/>
    <m/>
    <s v="16854/2023/1"/>
    <s v="9375/2024/PO/DRE/CAC/ND"/>
    <n v="9838401"/>
    <n v="5903040.5999999996"/>
    <n v="983840.10000000009"/>
    <d v="2024-09-11T00:00:00"/>
    <x v="1"/>
    <s v="Echue"/>
    <x v="0"/>
    <x v="0"/>
    <s v="KO"/>
    <x v="0"/>
    <n v="6257100"/>
    <n v="3754260"/>
  </r>
  <r>
    <n v="19408321686"/>
    <x v="3"/>
    <n v="87104375903"/>
    <s v="BMCE Bank"/>
    <s v="Centre Affaires Boughaz"/>
    <s v="24542/2023/1"/>
    <s v="Renouvellement"/>
    <x v="1"/>
    <n v="0.7"/>
    <d v="2023-06-10T00:00:00"/>
    <d v="2024-12-10T00:00:00"/>
    <s v="Pas réglé"/>
    <m/>
    <m/>
    <m/>
    <m/>
    <m/>
    <m/>
    <s v="17196/2023/1"/>
    <s v="9096/2024/PO/DRE/CAC/ND"/>
    <n v="6257100"/>
    <n v="3754260"/>
    <n v="625710"/>
    <d v="2024-01-29T00:00:00"/>
    <x v="1"/>
    <s v="Echue"/>
    <x v="0"/>
    <x v="1"/>
    <s v="KO"/>
    <x v="1"/>
    <n v="7192722"/>
    <n v="4315633.2"/>
  </r>
  <r>
    <n v="70659764733"/>
    <x v="3"/>
    <n v="36914977898"/>
    <s v="OCP Group"/>
    <s v="Centre Affaires Hassan"/>
    <s v="96098/2023/1"/>
    <s v="Mise en place"/>
    <x v="1"/>
    <n v="0.7"/>
    <d v="2023-12-09T00:00:00"/>
    <d v="2025-06-09T00:00:00"/>
    <s v="Pas réglé"/>
    <m/>
    <m/>
    <m/>
    <m/>
    <m/>
    <m/>
    <s v="13893/2023/1"/>
    <s v="4104/2024/PO/DRE/CAC/ND"/>
    <n v="7192722"/>
    <n v="4315633.2"/>
    <n v="719272.20000000007"/>
    <d v="2024-05-04T00:00:00"/>
    <x v="1"/>
    <s v="Valide"/>
    <x v="1"/>
    <x v="1"/>
    <s v="KO"/>
    <x v="0"/>
    <n v="3851946"/>
    <n v="2311167.6"/>
  </r>
  <r>
    <n v="80723693074"/>
    <x v="3"/>
    <n v="87146242401"/>
    <s v="2M Atlas"/>
    <s v="Centre Affaires Chellah"/>
    <s v="71721/2023/1"/>
    <s v="Renouvellement"/>
    <x v="1"/>
    <n v="0.6"/>
    <d v="2023-12-01T00:00:00"/>
    <d v="2025-06-01T00:00:00"/>
    <s v="Réglé"/>
    <d v="2023-04-14T00:00:00"/>
    <d v="2024-06-09T00:00:00"/>
    <s v="DOUNIALI"/>
    <s v="Tamwilcom"/>
    <d v="2024-12-29T00:00:00"/>
    <m/>
    <s v="92709/2023/1"/>
    <s v="7238/2024/PO/DRE/CAC/ND"/>
    <n v="3851946"/>
    <n v="2311167.6"/>
    <n v="385194.60000000003"/>
    <d v="2024-10-15T00:00:00"/>
    <x v="1"/>
    <s v="Valide"/>
    <x v="1"/>
    <x v="0"/>
    <s v="KO"/>
    <x v="1"/>
    <n v="8622524"/>
    <n v="5173514.3999999994"/>
  </r>
  <r>
    <n v="96012509598"/>
    <x v="3"/>
    <n v="27335283756"/>
    <s v="BMCE Bank"/>
    <s v="Centre Affaires Chellah"/>
    <s v="92365/2023/1"/>
    <s v="Renouvellement"/>
    <x v="0"/>
    <n v="0.6"/>
    <d v="2023-02-11T00:00:00"/>
    <d v="2024-08-11T00:00:00"/>
    <s v="Pas réglé"/>
    <m/>
    <m/>
    <m/>
    <m/>
    <m/>
    <m/>
    <s v="96858/2023/1"/>
    <s v="7324/2024/PO/DRE/CAC/ND"/>
    <n v="8622524"/>
    <n v="5173514.3999999994"/>
    <n v="862252.4"/>
    <d v="2024-09-21T00:00:00"/>
    <x v="0"/>
    <s v="Echue"/>
    <x v="0"/>
    <x v="0"/>
    <s v="OK"/>
    <x v="0"/>
    <n v="1142382"/>
    <n v="685429.2"/>
  </r>
  <r>
    <n v="54501561228"/>
    <x v="3"/>
    <n v="97416235416"/>
    <s v="Ciments du Maroc"/>
    <s v="Centre Affaires Anfa"/>
    <s v="81578/2023/1"/>
    <s v="Mise en place"/>
    <x v="1"/>
    <n v="0.6"/>
    <d v="2023-12-22T00:00:00"/>
    <d v="2025-06-22T00:00:00"/>
    <s v="Pas réglé"/>
    <m/>
    <m/>
    <m/>
    <m/>
    <m/>
    <m/>
    <s v="55323/2023/1"/>
    <s v="2380/2024/PO/DRE/CAC/ND"/>
    <n v="1142382"/>
    <n v="685429.2"/>
    <n v="114238.20000000001"/>
    <d v="2024-02-23T00:00:00"/>
    <x v="1"/>
    <s v="Echue"/>
    <x v="0"/>
    <x v="1"/>
    <s v="KO"/>
    <x v="1"/>
    <n v="4692350"/>
    <n v="2815410"/>
  </r>
  <r>
    <n v="80976153577"/>
    <x v="3"/>
    <n v="62916537990"/>
    <s v="OCP Group"/>
    <s v="Centre Affaires Palmier"/>
    <s v="98546/2023/1"/>
    <s v="Mise en place"/>
    <x v="0"/>
    <n v="0.6"/>
    <d v="2023-12-03T00:00:00"/>
    <d v="2025-06-03T00:00:00"/>
    <s v="Pas réglé"/>
    <m/>
    <m/>
    <m/>
    <m/>
    <m/>
    <m/>
    <s v="42914/2023/1"/>
    <s v="1749/2024/PO/DRE/CAC/ND"/>
    <n v="4692350"/>
    <n v="2815410"/>
    <n v="469235"/>
    <d v="2024-11-23T00:00:00"/>
    <x v="0"/>
    <s v="Echue"/>
    <x v="0"/>
    <x v="1"/>
    <s v="OK"/>
    <x v="0"/>
    <n v="2599178"/>
    <n v="1559506.8"/>
  </r>
  <r>
    <n v="49394260134"/>
    <x v="3"/>
    <n v="12112062885"/>
    <s v="Maroc Telecom"/>
    <s v="Centre Affaires Maarif"/>
    <s v="11316/2023/1"/>
    <s v="Renouvellement"/>
    <x v="1"/>
    <n v="0.6"/>
    <d v="2023-07-21T00:00:00"/>
    <d v="2025-01-21T00:00:00"/>
    <s v="Pas réglé"/>
    <m/>
    <m/>
    <m/>
    <m/>
    <m/>
    <m/>
    <s v="64938/2023/1"/>
    <s v="1718/2024/PO/DRE/CAC/ND"/>
    <n v="2599178"/>
    <n v="1559506.8"/>
    <n v="259917.80000000002"/>
    <d v="2024-03-09T00:00:00"/>
    <x v="1"/>
    <s v="Valide"/>
    <x v="1"/>
    <x v="0"/>
    <s v="KO"/>
    <x v="1"/>
    <n v="7687473"/>
    <n v="4612483.8"/>
  </r>
  <r>
    <n v="67654347679"/>
    <x v="3"/>
    <n v="49577406926"/>
    <s v="2M Atlas"/>
    <s v="Centre Affaires Maarif"/>
    <s v="58516/2023/1"/>
    <s v="Mise en place"/>
    <x v="0"/>
    <n v="0.6"/>
    <d v="2023-06-27T00:00:00"/>
    <d v="2024-12-27T00:00:00"/>
    <s v="Réglé"/>
    <d v="2023-07-27T00:00:00"/>
    <d v="2023-09-18T00:00:00"/>
    <s v="DOUNIALI"/>
    <s v="Tamwilcom"/>
    <d v="2024-03-30T00:00:00"/>
    <m/>
    <s v="52742/2023/1"/>
    <s v="2391/2024/PO/DRE/CAC/ND"/>
    <n v="7687473"/>
    <n v="4612483.8"/>
    <n v="768747.3"/>
    <d v="2024-04-17T00:00:00"/>
    <x v="0"/>
    <s v="Valide"/>
    <x v="1"/>
    <x v="1"/>
    <s v="OK"/>
    <x v="1"/>
    <n v="3020684"/>
    <n v="1812410.4"/>
  </r>
  <r>
    <n v="43159330657"/>
    <x v="3"/>
    <n v="46394845547"/>
    <s v="Société Générale Maroc"/>
    <s v="Centre Affaires Gueliz"/>
    <s v="11967/2023/1"/>
    <s v="Renouvellement"/>
    <x v="1"/>
    <n v="0.5"/>
    <d v="2023-11-19T00:00:00"/>
    <d v="2025-05-19T00:00:00"/>
    <s v="Réglé"/>
    <d v="2023-10-04T00:00:00"/>
    <d v="2023-12-05T00:00:00"/>
    <s v="DOUNIALI"/>
    <s v="Front"/>
    <d v="2024-12-06T00:00:00"/>
    <m/>
    <s v="20707/2023/1"/>
    <s v="4955/2024/PO/DRE/CAC/ND"/>
    <n v="3020684"/>
    <n v="1812410.4"/>
    <n v="302068.40000000002"/>
    <d v="2024-09-29T00:00:00"/>
    <x v="1"/>
    <s v="Valide"/>
    <x v="1"/>
    <x v="1"/>
    <s v="KO"/>
    <x v="1"/>
    <n v="4514408"/>
    <n v="2708644.8"/>
  </r>
  <r>
    <n v="70253696372"/>
    <x v="3"/>
    <n v="64507890838"/>
    <s v="Banque Populaire"/>
    <s v="Centre Affaires Centre Ville"/>
    <s v="62598/2023/1"/>
    <s v="Renouvellement"/>
    <x v="0"/>
    <n v="0.7"/>
    <d v="2023-01-18T00:00:00"/>
    <d v="2024-07-18T00:00:00"/>
    <s v="Réglé"/>
    <d v="2023-12-16T00:00:00"/>
    <d v="2023-11-30T00:00:00"/>
    <s v="DOUNIALI"/>
    <s v="Front"/>
    <d v="2024-02-14T00:00:00"/>
    <m/>
    <s v="31241/2023/1"/>
    <s v="9468/2024/PO/DRE/CAC/ND"/>
    <n v="4514408"/>
    <n v="2708644.8"/>
    <n v="451440.80000000005"/>
    <d v="2024-01-19T00:00:00"/>
    <x v="0"/>
    <s v="Valide"/>
    <x v="1"/>
    <x v="0"/>
    <s v="OK"/>
    <x v="0"/>
    <n v="1830275"/>
    <n v="1098165"/>
  </r>
  <r>
    <n v="52492945986"/>
    <x v="3"/>
    <n v="74163088435"/>
    <s v="BMCE Bank"/>
    <s v="Centre Affaires Hassan"/>
    <s v="30778/2023/1"/>
    <s v="Renouvellement"/>
    <x v="1"/>
    <n v="0.6"/>
    <d v="2023-01-01T00:00:00"/>
    <d v="2024-07-01T00:00:00"/>
    <s v="Réglé"/>
    <d v="2023-02-18T00:00:00"/>
    <d v="2023-06-05T00:00:00"/>
    <s v="DOUNIALI"/>
    <s v="Front"/>
    <d v="2024-11-19T00:00:00"/>
    <m/>
    <s v="85673/2023/1"/>
    <s v="5163/2024/PO/DRE/CAC/ND"/>
    <n v="1830275"/>
    <n v="1098165"/>
    <n v="183027.5"/>
    <d v="2024-09-18T00:00:00"/>
    <x v="1"/>
    <s v="Echue"/>
    <x v="0"/>
    <x v="0"/>
    <s v="KO"/>
    <x v="1"/>
    <n v="7142329"/>
    <n v="4285397.3999999994"/>
  </r>
  <r>
    <n v="18551883377"/>
    <x v="3"/>
    <n v="12215190700"/>
    <s v="BMCE Bank"/>
    <s v="Centre Affaires Hivernage"/>
    <s v="48178/2023/1"/>
    <s v="Mise en place"/>
    <x v="0"/>
    <n v="0.5"/>
    <d v="2023-10-20T00:00:00"/>
    <d v="2025-04-20T00:00:00"/>
    <s v="Pas réglé"/>
    <m/>
    <m/>
    <m/>
    <m/>
    <m/>
    <m/>
    <s v="32033/2023/1"/>
    <s v="8326/2024/PO/DRE/CAC/ND"/>
    <n v="7142329"/>
    <n v="4285397.3999999994"/>
    <n v="714232.9"/>
    <d v="2024-11-03T00:00:00"/>
    <x v="0"/>
    <s v="Echue"/>
    <x v="0"/>
    <x v="0"/>
    <s v="OK"/>
    <x v="1"/>
    <n v="7456740"/>
    <n v="4474044"/>
  </r>
  <r>
    <n v="90943028294"/>
    <x v="3"/>
    <n v="15285437929"/>
    <s v="Banque Populaire"/>
    <s v="Centre Affaires Gueliz"/>
    <s v="26366/2023/1"/>
    <s v="Renouvellement"/>
    <x v="1"/>
    <n v="0.6"/>
    <d v="2023-10-08T00:00:00"/>
    <d v="2025-04-08T00:00:00"/>
    <s v="Réglé"/>
    <d v="2023-04-15T00:00:00"/>
    <d v="2024-07-23T00:00:00"/>
    <s v="DOUNIALI"/>
    <s v="Tamwilcom"/>
    <d v="2024-04-25T00:00:00"/>
    <m/>
    <s v="43079/2023/1"/>
    <s v="4663/2024/PO/DRE/CAC/ND"/>
    <n v="7456740"/>
    <n v="4474044"/>
    <n v="745674"/>
    <d v="2024-08-13T00:00:00"/>
    <x v="1"/>
    <s v="Echue"/>
    <x v="0"/>
    <x v="1"/>
    <s v="KO"/>
    <x v="1"/>
    <n v="2724220"/>
    <n v="1634532"/>
  </r>
  <r>
    <n v="77940965555"/>
    <x v="3"/>
    <n v="99071762146"/>
    <s v="Maroc Telecom"/>
    <s v="Centre Affaires Boughaz"/>
    <s v="29078/2023/1"/>
    <s v="Mise en place"/>
    <x v="1"/>
    <n v="0.6"/>
    <d v="2023-12-26T00:00:00"/>
    <d v="2025-06-26T00:00:00"/>
    <s v="Réglé"/>
    <d v="2023-02-10T00:00:00"/>
    <d v="2024-03-10T00:00:00"/>
    <s v="OCTROI"/>
    <s v="Tamwilcom"/>
    <d v="2024-07-05T00:00:00"/>
    <m/>
    <s v="11907/2023/1"/>
    <s v="7334/2024/PO/DRE/CAC/ND"/>
    <n v="2724220"/>
    <n v="1634532"/>
    <n v="272422"/>
    <d v="2024-06-23T00:00:00"/>
    <x v="1"/>
    <s v="Valide"/>
    <x v="1"/>
    <x v="1"/>
    <s v="KO"/>
    <x v="0"/>
    <n v="8493261"/>
    <n v="5095956.5999999996"/>
  </r>
  <r>
    <n v="38654464121"/>
    <x v="3"/>
    <n v="72063020882"/>
    <s v="BMCE Bank"/>
    <s v="Centre Affaires Hivernage"/>
    <s v="88534/2023/1"/>
    <s v="Mise en place"/>
    <x v="0"/>
    <n v="0.6"/>
    <d v="2023-01-30T00:00:00"/>
    <d v="2024-07-30T00:00:00"/>
    <s v="Réglé"/>
    <d v="2023-03-03T00:00:00"/>
    <d v="2023-06-17T00:00:00"/>
    <s v="DOUNIALI"/>
    <s v="Front"/>
    <d v="2024-08-26T00:00:00"/>
    <m/>
    <s v="26617/2023/1"/>
    <s v="4248/2024/PO/DRE/CAC/ND"/>
    <n v="8493261"/>
    <n v="5095956.5999999996"/>
    <n v="849326.10000000009"/>
    <d v="2024-09-02T00:00:00"/>
    <x v="0"/>
    <s v="Valide"/>
    <x v="1"/>
    <x v="1"/>
    <s v="OK"/>
    <x v="1"/>
    <n v="5162598"/>
    <n v="3097558.8"/>
  </r>
  <r>
    <n v="79278621806"/>
    <x v="3"/>
    <n v="94996593518"/>
    <s v="Managem"/>
    <s v="Centre Affaires Hassan"/>
    <s v="35746/2023/1"/>
    <s v="Renouvellement"/>
    <x v="0"/>
    <n v="0.6"/>
    <d v="2023-12-12T00:00:00"/>
    <d v="2025-06-12T00:00:00"/>
    <s v="Pas réglé"/>
    <m/>
    <m/>
    <m/>
    <m/>
    <m/>
    <m/>
    <s v="56008/2023/1"/>
    <s v="7084/2024/PO/DRE/CAC/ND"/>
    <n v="5162598"/>
    <n v="3097558.8"/>
    <n v="516259.80000000005"/>
    <d v="2024-01-06T00:00:00"/>
    <x v="0"/>
    <s v="Echue"/>
    <x v="0"/>
    <x v="1"/>
    <s v="OK"/>
    <x v="0"/>
    <n v="2676021"/>
    <n v="1605612.5999999999"/>
  </r>
  <r>
    <n v="67090122529"/>
    <x v="3"/>
    <n v="74952497693"/>
    <s v="Ciments du Maroc"/>
    <s v="Centre Affaires Maarif"/>
    <s v="32736/2023/1"/>
    <s v="Renouvellement"/>
    <x v="1"/>
    <n v="0.6"/>
    <d v="2023-06-02T00:00:00"/>
    <d v="2024-12-02T00:00:00"/>
    <s v="Réglé"/>
    <d v="2023-05-20T00:00:00"/>
    <d v="2023-07-19T00:00:00"/>
    <s v="DOUNIALI"/>
    <s v="Tamwilcom"/>
    <d v="2024-07-13T00:00:00"/>
    <m/>
    <s v="45764/2023/1"/>
    <s v="9390/2024/PO/DRE/CAC/ND"/>
    <n v="2676021"/>
    <n v="1605612.5999999999"/>
    <n v="267602.10000000003"/>
    <d v="2024-10-31T00:00:00"/>
    <x v="1"/>
    <s v="Echue"/>
    <x v="0"/>
    <x v="0"/>
    <s v="KO"/>
    <x v="1"/>
    <n v="2962764"/>
    <n v="1777658.4"/>
  </r>
  <r>
    <n v="40476459582"/>
    <x v="3"/>
    <n v="59928160579"/>
    <s v="Ciments du Maroc"/>
    <s v="Centre Affaires Boughaz"/>
    <s v="14968/2023/1"/>
    <s v="Mise en place"/>
    <x v="0"/>
    <n v="0.6"/>
    <d v="2023-08-20T00:00:00"/>
    <d v="2025-02-20T00:00:00"/>
    <s v="Pas réglé"/>
    <m/>
    <m/>
    <m/>
    <m/>
    <m/>
    <m/>
    <s v="67277/2023/1"/>
    <s v="8541/2024/PO/DRE/CAC/ND"/>
    <n v="2962764"/>
    <n v="1777658.4"/>
    <n v="296276.40000000002"/>
    <d v="2024-09-18T00:00:00"/>
    <x v="0"/>
    <s v="Valide"/>
    <x v="1"/>
    <x v="0"/>
    <s v="OK"/>
    <x v="0"/>
    <n v="8904458"/>
    <n v="5342674.8"/>
  </r>
  <r>
    <n v="40995487781"/>
    <x v="3"/>
    <n v="10879985557"/>
    <s v="Société Générale Maroc"/>
    <s v="Centre Affaires Maarif"/>
    <s v="26160/2023/1"/>
    <s v="Renouvellement"/>
    <x v="0"/>
    <n v="0.6"/>
    <d v="2023-12-15T00:00:00"/>
    <d v="2025-06-15T00:00:00"/>
    <s v="Pas réglé"/>
    <m/>
    <m/>
    <m/>
    <m/>
    <m/>
    <m/>
    <s v="16231/2023/1"/>
    <s v="6190/2024/PO/DRE/CAC/ND"/>
    <n v="8904458"/>
    <n v="5342674.8"/>
    <n v="890445.8"/>
    <d v="2024-10-26T00:00:00"/>
    <x v="0"/>
    <s v="Echue"/>
    <x v="0"/>
    <x v="0"/>
    <s v="OK"/>
    <x v="1"/>
    <n v="7510607"/>
    <n v="4506364.2"/>
  </r>
  <r>
    <n v="95642209358"/>
    <x v="3"/>
    <n v="31026003078"/>
    <s v="OCP Group"/>
    <s v="Centre Affaires Boughaz"/>
    <s v="13969/2023/1"/>
    <s v="Mise en place"/>
    <x v="0"/>
    <n v="0.6"/>
    <d v="2023-02-21T00:00:00"/>
    <d v="2024-08-21T00:00:00"/>
    <s v="Réglé"/>
    <d v="2023-01-27T00:00:00"/>
    <d v="2024-02-10T00:00:00"/>
    <s v="DOUNIALI"/>
    <s v="Tamwilcom"/>
    <d v="2024-07-02T00:00:00"/>
    <m/>
    <s v="81137/2023/1"/>
    <s v="9071/2024/PO/DRE/CAC/ND"/>
    <n v="7510607"/>
    <n v="4506364.2"/>
    <n v="751060.70000000007"/>
    <d v="2024-08-23T00:00:00"/>
    <x v="0"/>
    <s v="Echue"/>
    <x v="0"/>
    <x v="0"/>
    <s v="OK"/>
    <x v="1"/>
    <n v="5329399"/>
    <n v="3197639.4"/>
  </r>
  <r>
    <n v="18480855915"/>
    <x v="3"/>
    <n v="59391693529"/>
    <s v="BMCE Bank"/>
    <s v="Centre Affaires Maarif"/>
    <s v="44120/2023/1"/>
    <s v="Renouvellement"/>
    <x v="1"/>
    <n v="0.6"/>
    <d v="2023-08-13T00:00:00"/>
    <d v="2025-02-13T00:00:00"/>
    <s v="Réglé"/>
    <d v="2023-11-10T00:00:00"/>
    <d v="2024-07-23T00:00:00"/>
    <s v="DOUNIALI"/>
    <s v="Tamwilcom"/>
    <d v="2024-02-24T00:00:00"/>
    <m/>
    <s v="35387/2023/1"/>
    <s v="6944/2024/PO/DRE/CAC/ND"/>
    <n v="5329399"/>
    <n v="3197639.4"/>
    <n v="532939.9"/>
    <d v="2024-11-23T00:00:00"/>
    <x v="1"/>
    <s v="Valide"/>
    <x v="1"/>
    <x v="0"/>
    <s v="KO"/>
    <x v="0"/>
    <n v="8380440"/>
    <n v="5028264"/>
  </r>
  <r>
    <n v="64006793221"/>
    <x v="3"/>
    <n v="13829615860"/>
    <s v="Banque Populaire"/>
    <s v="Centre Affaires Hassan"/>
    <s v="98375/2023/1"/>
    <s v="Renouvellement"/>
    <x v="1"/>
    <n v="0.6"/>
    <d v="2023-07-29T00:00:00"/>
    <d v="2025-01-29T00:00:00"/>
    <s v="Pas réglé"/>
    <m/>
    <m/>
    <m/>
    <m/>
    <m/>
    <m/>
    <s v="49407/2023/1"/>
    <s v="1004/2024/PO/DRE/CAC/ND"/>
    <n v="8380440"/>
    <n v="5028264"/>
    <n v="838044"/>
    <d v="2024-10-10T00:00:00"/>
    <x v="1"/>
    <s v="Valide"/>
    <x v="1"/>
    <x v="0"/>
    <s v="KO"/>
    <x v="1"/>
    <n v="7334181"/>
    <n v="4400508.5999999996"/>
  </r>
  <r>
    <n v="74164683092"/>
    <x v="3"/>
    <n v="65162088952"/>
    <s v="Ciments du Maroc"/>
    <s v="Centre Affaires Hivernage"/>
    <s v="53754/2023/1"/>
    <s v="Mise en place"/>
    <x v="1"/>
    <n v="0.6"/>
    <d v="2023-06-19T00:00:00"/>
    <d v="2024-12-19T00:00:00"/>
    <s v="Réglé"/>
    <d v="2023-04-20T00:00:00"/>
    <d v="2024-02-16T00:00:00"/>
    <s v="DOUNIALI"/>
    <s v="Front"/>
    <d v="2024-10-12T00:00:00"/>
    <m/>
    <s v="50469/2023/1"/>
    <s v="2502/2024/PO/DRE/CAC/ND"/>
    <n v="7334181"/>
    <n v="4400508.5999999996"/>
    <n v="733418.10000000009"/>
    <d v="2024-04-16T00:00:00"/>
    <x v="1"/>
    <s v="Valide"/>
    <x v="1"/>
    <x v="1"/>
    <s v="KO"/>
    <x v="1"/>
    <n v="4914742"/>
    <n v="2948845.1999999997"/>
  </r>
  <r>
    <n v="63485326458"/>
    <x v="3"/>
    <n v="55763836096"/>
    <s v="Ciments du Maroc"/>
    <s v="Centre Affaires Gueliz"/>
    <s v="43070/2023/1"/>
    <s v="Renouvellement"/>
    <x v="0"/>
    <n v="0.6"/>
    <d v="2023-07-19T00:00:00"/>
    <d v="2025-01-19T00:00:00"/>
    <s v="Réglé"/>
    <d v="2023-05-04T00:00:00"/>
    <d v="2023-07-20T00:00:00"/>
    <s v="DOUNIALI"/>
    <s v="Front"/>
    <d v="2024-01-08T00:00:00"/>
    <m/>
    <s v="82555/2023/1"/>
    <s v="2492/2024/PO/DRE/CAC/ND"/>
    <n v="4914742"/>
    <n v="2948845.1999999997"/>
    <n v="491474.2"/>
    <d v="2024-07-04T00:00:00"/>
    <x v="0"/>
    <s v="Echue"/>
    <x v="0"/>
    <x v="1"/>
    <s v="OK"/>
    <x v="1"/>
    <n v="6328248"/>
    <n v="3796948.8"/>
  </r>
  <r>
    <n v="98721006139"/>
    <x v="3"/>
    <n v="70800581676"/>
    <s v="Maghreb Steel"/>
    <s v="Centre Affaires Hassan"/>
    <s v="47714/2023/1"/>
    <s v="Mise en place"/>
    <x v="1"/>
    <n v="0.6"/>
    <d v="2023-07-09T00:00:00"/>
    <d v="2025-01-09T00:00:00"/>
    <s v="Pas réglé"/>
    <m/>
    <m/>
    <m/>
    <m/>
    <m/>
    <m/>
    <s v="39817/2023/1"/>
    <s v="4388/2024/PO/DRE/CAC/ND"/>
    <n v="6328248"/>
    <n v="3796948.8"/>
    <n v="632824.80000000005"/>
    <d v="2024-11-15T00:00:00"/>
    <x v="1"/>
    <s v="Echue"/>
    <x v="0"/>
    <x v="1"/>
    <s v="KO"/>
    <x v="0"/>
    <n v="8674552"/>
    <n v="5204731.2"/>
  </r>
  <r>
    <n v="76190721740"/>
    <x v="3"/>
    <n v="40705609867"/>
    <s v="Maroc Telecom"/>
    <s v="Centre Affaires Palmier"/>
    <s v="36281/2023/1"/>
    <s v="Renouvellement"/>
    <x v="1"/>
    <n v="0.7"/>
    <d v="2023-04-26T00:00:00"/>
    <d v="2024-10-26T00:00:00"/>
    <s v="Réglé"/>
    <d v="2023-04-27T00:00:00"/>
    <d v="2023-07-30T00:00:00"/>
    <s v="OCTROI"/>
    <s v="Front"/>
    <d v="2024-08-06T00:00:00"/>
    <m/>
    <s v="74671/2023/1"/>
    <s v="7953/2024/PO/DRE/CAC/ND"/>
    <n v="8674552"/>
    <n v="5204731.2"/>
    <n v="867455.20000000007"/>
    <d v="2024-11-13T00:00:00"/>
    <x v="1"/>
    <s v="Valide"/>
    <x v="1"/>
    <x v="0"/>
    <s v="KO"/>
    <x v="1"/>
    <n v="4213996"/>
    <n v="2528397.6"/>
  </r>
  <r>
    <n v="69138967667"/>
    <x v="3"/>
    <n v="52651544964"/>
    <s v="Banque Populaire"/>
    <s v="Centre Affaires Maarif"/>
    <s v="77748/2023/1"/>
    <s v="Renouvellement"/>
    <x v="0"/>
    <n v="0.6"/>
    <d v="2023-06-12T00:00:00"/>
    <d v="2024-12-12T00:00:00"/>
    <s v="Pas réglé"/>
    <m/>
    <m/>
    <m/>
    <m/>
    <m/>
    <m/>
    <s v="62166/2023/1"/>
    <s v="3006/2024/PO/DRE/CAC/ND"/>
    <n v="4213996"/>
    <n v="2528397.6"/>
    <n v="421399.60000000003"/>
    <d v="2024-03-28T00:00:00"/>
    <x v="0"/>
    <s v="Echue"/>
    <x v="0"/>
    <x v="1"/>
    <s v="OK"/>
    <x v="1"/>
    <n v="8581039"/>
    <n v="5148623.3999999994"/>
  </r>
  <r>
    <n v="92884595986"/>
    <x v="3"/>
    <n v="53301760430"/>
    <s v="Ciments du Maroc"/>
    <s v="Centre Affaires Agdal"/>
    <s v="68764/2023/1"/>
    <s v="Mise en place"/>
    <x v="1"/>
    <n v="0.6"/>
    <d v="2023-11-06T00:00:00"/>
    <d v="2025-05-06T00:00:00"/>
    <s v="Pas réglé"/>
    <m/>
    <m/>
    <m/>
    <m/>
    <m/>
    <m/>
    <s v="61606/2023/1"/>
    <s v="8452/2024/PO/DRE/CAC/ND"/>
    <n v="8581039"/>
    <n v="5148623.3999999994"/>
    <n v="858103.9"/>
    <d v="2024-10-24T00:00:00"/>
    <x v="1"/>
    <s v="Echue"/>
    <x v="0"/>
    <x v="1"/>
    <s v="KO"/>
    <x v="1"/>
    <n v="4875109"/>
    <n v="2925065.4"/>
  </r>
  <r>
    <n v="55973736838"/>
    <x v="3"/>
    <n v="76648998526"/>
    <s v="2M Atlas"/>
    <s v="Centre Affaires Palmier"/>
    <s v="51331/2023/1"/>
    <s v="Renouvellement"/>
    <x v="1"/>
    <n v="0.5"/>
    <d v="2023-10-17T00:00:00"/>
    <d v="2025-04-17T00:00:00"/>
    <s v="Pas réglé"/>
    <m/>
    <m/>
    <m/>
    <m/>
    <m/>
    <m/>
    <s v="55927/2023/1"/>
    <s v="7252/2024/PO/DRE/CAC/ND"/>
    <n v="4875109"/>
    <n v="2925065.4"/>
    <n v="487510.9"/>
    <d v="2024-02-03T00:00:00"/>
    <x v="1"/>
    <s v="Echue"/>
    <x v="0"/>
    <x v="1"/>
    <s v="KO"/>
    <x v="0"/>
    <n v="6353869"/>
    <n v="3812321.4"/>
  </r>
  <r>
    <n v="73112826149"/>
    <x v="3"/>
    <n v="58894823326"/>
    <s v="Maroc Telecom"/>
    <s v="Centre Affaires Hassan"/>
    <s v="33068/2023/1"/>
    <s v="Renouvellement"/>
    <x v="1"/>
    <n v="0.6"/>
    <d v="2023-03-16T00:00:00"/>
    <d v="2024-09-16T00:00:00"/>
    <s v="Pas réglé"/>
    <m/>
    <m/>
    <m/>
    <m/>
    <m/>
    <m/>
    <s v="66615/2023/1"/>
    <s v="8732/2024/PO/DRE/CAC/ND"/>
    <n v="6353869"/>
    <n v="3812321.4"/>
    <n v="635386.9"/>
    <d v="2024-03-28T00:00:00"/>
    <x v="1"/>
    <s v="Echue"/>
    <x v="0"/>
    <x v="1"/>
    <s v="KO"/>
    <x v="1"/>
    <n v="1873173"/>
    <n v="1123903.8"/>
  </r>
  <r>
    <n v="30478284997"/>
    <x v="3"/>
    <n v="31498315031"/>
    <s v="OCP Group"/>
    <s v="Centre Affaires Agdal"/>
    <s v="25120/2023/1"/>
    <s v="Renouvellement"/>
    <x v="1"/>
    <n v="0.6"/>
    <d v="2023-02-09T00:00:00"/>
    <d v="2024-08-09T00:00:00"/>
    <s v="Pas réglé"/>
    <m/>
    <m/>
    <m/>
    <m/>
    <m/>
    <m/>
    <s v="99917/2023/1"/>
    <s v="5328/2024/PO/DRE/CAC/ND"/>
    <n v="1873173"/>
    <n v="1123903.8"/>
    <n v="187317.30000000002"/>
    <d v="2024-09-30T00:00:00"/>
    <x v="1"/>
    <s v="Valide"/>
    <x v="1"/>
    <x v="0"/>
    <s v="KO"/>
    <x v="0"/>
    <n v="9984419"/>
    <n v="5990651.3999999994"/>
  </r>
  <r>
    <n v="58342956612"/>
    <x v="3"/>
    <n v="85262559258"/>
    <s v="Maroc Telecom"/>
    <s v="Centre Affaires Hivernage"/>
    <s v="48902/2023/1"/>
    <s v="Mise en place"/>
    <x v="1"/>
    <n v="0.6"/>
    <d v="2023-07-07T00:00:00"/>
    <d v="2025-01-07T00:00:00"/>
    <s v="Réglé"/>
    <d v="2023-02-21T00:00:00"/>
    <d v="2023-10-27T00:00:00"/>
    <s v="OCTROI"/>
    <s v="Front"/>
    <d v="2024-01-11T00:00:00"/>
    <m/>
    <s v="55339/2023/1"/>
    <s v="8230/2024/PO/DRE/CAC/ND"/>
    <n v="9984419"/>
    <n v="5990651.3999999994"/>
    <n v="998441.9"/>
    <d v="2024-11-04T00:00:00"/>
    <x v="1"/>
    <s v="Valide"/>
    <x v="1"/>
    <x v="1"/>
    <s v="KO"/>
    <x v="1"/>
    <n v="6213848"/>
    <n v="3728308.8"/>
  </r>
  <r>
    <n v="18065999452"/>
    <x v="3"/>
    <n v="47831056787"/>
    <s v="2M Atlas"/>
    <s v="Centre Affaires Agdal"/>
    <s v="22254/2023/1"/>
    <s v="Mise en place"/>
    <x v="0"/>
    <n v="0.6"/>
    <d v="2023-04-17T00:00:00"/>
    <d v="2024-10-17T00:00:00"/>
    <s v="Réglé"/>
    <d v="2023-10-28T00:00:00"/>
    <d v="2024-04-08T00:00:00"/>
    <s v="DOUNIALI"/>
    <s v="Front"/>
    <d v="2024-12-08T00:00:00"/>
    <m/>
    <s v="87660/2023/1"/>
    <s v="5861/2024/PO/DRE/CAC/ND"/>
    <n v="6213848"/>
    <n v="3728308.8"/>
    <n v="621384.80000000005"/>
    <d v="2024-04-02T00:00:00"/>
    <x v="0"/>
    <s v="Echue"/>
    <x v="0"/>
    <x v="1"/>
    <s v="OK"/>
    <x v="1"/>
    <n v="1153524"/>
    <n v="692114.4"/>
  </r>
  <r>
    <n v="47932527450"/>
    <x v="3"/>
    <n v="79850338288"/>
    <s v="OCP Group"/>
    <s v="Centre Affaires Maarif"/>
    <s v="46659/2023/1"/>
    <s v="Mise en place"/>
    <x v="0"/>
    <n v="0.6"/>
    <d v="2023-09-18T00:00:00"/>
    <d v="2025-03-18T00:00:00"/>
    <s v="Réglé"/>
    <d v="2023-04-21T00:00:00"/>
    <d v="2024-04-03T00:00:00"/>
    <s v="OCTROI"/>
    <s v="Tamwilcom"/>
    <d v="2024-11-27T00:00:00"/>
    <m/>
    <s v="19349/2023/1"/>
    <s v="2903/2024/PO/DRE/CAC/ND"/>
    <n v="1153524"/>
    <n v="692114.4"/>
    <n v="115352.40000000001"/>
    <d v="2024-07-07T00:00:00"/>
    <x v="0"/>
    <s v="Echue"/>
    <x v="0"/>
    <x v="1"/>
    <s v="OK"/>
    <x v="1"/>
    <n v="7200174"/>
    <n v="4320104.3999999994"/>
  </r>
  <r>
    <n v="29323565764"/>
    <x v="3"/>
    <n v="10935246837"/>
    <s v="Société Générale Maroc"/>
    <s v="Centre Affaires Hassan"/>
    <s v="46207/2023/1"/>
    <s v="Mise en place"/>
    <x v="0"/>
    <n v="0.5"/>
    <d v="2023-10-11T00:00:00"/>
    <d v="2025-04-11T00:00:00"/>
    <s v="Réglé"/>
    <d v="2023-04-26T00:00:00"/>
    <d v="2024-09-24T00:00:00"/>
    <s v="DOUNIALI"/>
    <s v="Front"/>
    <d v="2024-07-06T00:00:00"/>
    <m/>
    <s v="54403/2023/1"/>
    <s v="8457/2024/PO/DRE/CAC/ND"/>
    <n v="7200174"/>
    <n v="4320104.3999999994"/>
    <n v="720017.4"/>
    <d v="2024-11-11T00:00:00"/>
    <x v="0"/>
    <s v="Valide"/>
    <x v="1"/>
    <x v="0"/>
    <s v="OK"/>
    <x v="0"/>
    <n v="8804981"/>
    <n v="5282988.5999999996"/>
  </r>
  <r>
    <n v="89175621043"/>
    <x v="3"/>
    <n v="81304087765"/>
    <s v="Managem"/>
    <s v="Centre Affaires Hivernage"/>
    <s v="50734/2023/1"/>
    <s v="Renouvellement"/>
    <x v="1"/>
    <n v="0.6"/>
    <d v="2023-12-03T00:00:00"/>
    <d v="2025-06-03T00:00:00"/>
    <s v="Réglé"/>
    <d v="2023-10-23T00:00:00"/>
    <d v="2024-08-12T00:00:00"/>
    <s v="DOUNIALI"/>
    <s v="Tamwilcom"/>
    <d v="2024-05-12T00:00:00"/>
    <m/>
    <s v="40444/2023/1"/>
    <s v="6743/2024/PO/DRE/CAC/ND"/>
    <n v="8804981"/>
    <n v="5282988.5999999996"/>
    <n v="880498.10000000009"/>
    <d v="2024-10-31T00:00:00"/>
    <x v="1"/>
    <s v="Valide"/>
    <x v="1"/>
    <x v="0"/>
    <s v="KO"/>
    <x v="1"/>
    <n v="5818183"/>
    <n v="3490909.8"/>
  </r>
  <r>
    <n v="51569176993"/>
    <x v="3"/>
    <n v="37862330547"/>
    <s v="2M Atlas"/>
    <s v="Centre Affaires Palmier"/>
    <s v="46589/2023/1"/>
    <s v="Renouvellement"/>
    <x v="0"/>
    <n v="0.6"/>
    <d v="2023-09-25T00:00:00"/>
    <d v="2025-03-25T00:00:00"/>
    <s v="Pas réglé"/>
    <m/>
    <m/>
    <m/>
    <m/>
    <m/>
    <m/>
    <s v="58063/2023/1"/>
    <s v="4876/2024/PO/DRE/CAC/ND"/>
    <n v="5818183"/>
    <n v="3490909.8"/>
    <n v="581818.30000000005"/>
    <d v="2024-04-13T00:00:00"/>
    <x v="0"/>
    <s v="Valide"/>
    <x v="1"/>
    <x v="1"/>
    <s v="OK"/>
    <x v="1"/>
    <n v="9808718"/>
    <n v="5885230.7999999998"/>
  </r>
  <r>
    <n v="28882420702"/>
    <x v="3"/>
    <n v="58845572653"/>
    <s v="Ciments du Maroc"/>
    <s v="Centre Affaires Maarif"/>
    <s v="38263/2023/1"/>
    <s v="Renouvellement"/>
    <x v="0"/>
    <n v="0.6"/>
    <d v="2023-05-02T00:00:00"/>
    <d v="2024-11-02T00:00:00"/>
    <s v="Pas réglé"/>
    <m/>
    <m/>
    <m/>
    <m/>
    <m/>
    <m/>
    <s v="86563/2023/1"/>
    <s v="9053/2024/PO/DRE/CAC/ND"/>
    <n v="9808718"/>
    <n v="5885230.7999999998"/>
    <n v="980871.8"/>
    <d v="2024-10-01T00:00:00"/>
    <x v="0"/>
    <s v="Valide"/>
    <x v="1"/>
    <x v="0"/>
    <s v="OK"/>
    <x v="0"/>
    <n v="1311669"/>
    <n v="787001.4"/>
  </r>
  <r>
    <n v="29272456969"/>
    <x v="3"/>
    <n v="39504007163"/>
    <s v="Maroc Telecom"/>
    <s v="Centre Affaires Agdal"/>
    <s v="42153/2023/1"/>
    <s v="Renouvellement"/>
    <x v="0"/>
    <n v="0.6"/>
    <d v="2023-06-27T00:00:00"/>
    <d v="2024-12-27T00:00:00"/>
    <s v="Pas réglé"/>
    <m/>
    <m/>
    <m/>
    <m/>
    <m/>
    <m/>
    <s v="37257/2023/1"/>
    <s v="7690/2024/PO/DRE/CAC/ND"/>
    <n v="1311669"/>
    <n v="787001.4"/>
    <n v="131166.9"/>
    <d v="2024-10-11T00:00:00"/>
    <x v="0"/>
    <s v="Valide"/>
    <x v="1"/>
    <x v="1"/>
    <s v="OK"/>
    <x v="0"/>
    <n v="1707586"/>
    <n v="1024551.6"/>
  </r>
  <r>
    <n v="20518406531"/>
    <x v="3"/>
    <n v="39310930224"/>
    <s v="Maroc Telecom"/>
    <s v="Centre Affaires Agdal"/>
    <s v="36825/2023/1"/>
    <s v="Mise en place"/>
    <x v="1"/>
    <n v="0.6"/>
    <d v="2023-01-27T00:00:00"/>
    <d v="2024-07-27T00:00:00"/>
    <s v="Pas réglé"/>
    <m/>
    <m/>
    <m/>
    <m/>
    <m/>
    <m/>
    <s v="83785/2023/1"/>
    <s v="7226/2024/PO/DRE/CAC/ND"/>
    <n v="1707586"/>
    <n v="1024551.6"/>
    <n v="170758.6"/>
    <d v="2024-05-29T00:00:00"/>
    <x v="1"/>
    <s v="Valide"/>
    <x v="1"/>
    <x v="0"/>
    <s v="KO"/>
    <x v="0"/>
    <n v="3572122"/>
    <n v="2143273.1999999997"/>
  </r>
  <r>
    <n v="14039607410"/>
    <x v="3"/>
    <n v="42968623152"/>
    <s v="Ciments du Maroc"/>
    <s v="Centre Affaires Hivernage"/>
    <s v="66036/2023/1"/>
    <s v="Mise en place"/>
    <x v="0"/>
    <n v="0.6"/>
    <d v="2023-09-08T00:00:00"/>
    <d v="2025-03-08T00:00:00"/>
    <s v="Réglé"/>
    <d v="2023-10-04T00:00:00"/>
    <d v="2024-08-20T00:00:00"/>
    <s v="DOUNIALI"/>
    <s v="Tamwilcom"/>
    <d v="2024-10-10T00:00:00"/>
    <m/>
    <s v="84940/2023/1"/>
    <s v="4797/2024/PO/DRE/CAC/ND"/>
    <n v="3572122"/>
    <n v="2143273.1999999997"/>
    <n v="357212.2"/>
    <d v="2024-07-14T00:00:00"/>
    <x v="0"/>
    <s v="Echue"/>
    <x v="0"/>
    <x v="0"/>
    <s v="OK"/>
    <x v="1"/>
    <n v="6925454"/>
    <n v="4155272.4"/>
  </r>
  <r>
    <n v="65200746778"/>
    <x v="3"/>
    <n v="51510824192"/>
    <s v="Société Générale Maroc"/>
    <s v="Centre Affaires Chellah"/>
    <s v="78234/2023/1"/>
    <s v="Renouvellement"/>
    <x v="0"/>
    <n v="0.6"/>
    <d v="2023-02-17T00:00:00"/>
    <d v="2024-08-17T00:00:00"/>
    <s v="Pas réglé"/>
    <m/>
    <m/>
    <m/>
    <m/>
    <m/>
    <m/>
    <s v="19365/2023/1"/>
    <s v="4271/2024/PO/DRE/CAC/ND"/>
    <n v="6925454"/>
    <n v="4155272.4"/>
    <n v="692545.4"/>
    <d v="2024-09-03T00:00:00"/>
    <x v="0"/>
    <s v="Valide"/>
    <x v="1"/>
    <x v="0"/>
    <s v="OK"/>
    <x v="1"/>
    <n v="4440408"/>
    <n v="2664244.7999999998"/>
  </r>
  <r>
    <n v="46764531105"/>
    <x v="3"/>
    <n v="22034347995"/>
    <s v="2M Atlas"/>
    <s v="Centre Affaires Maarif"/>
    <s v="33295/2023/1"/>
    <s v="Mise en place"/>
    <x v="1"/>
    <n v="0.7"/>
    <d v="2023-01-28T00:00:00"/>
    <d v="2024-07-28T00:00:00"/>
    <s v="Réglé"/>
    <d v="2023-02-20T00:00:00"/>
    <d v="2024-01-05T00:00:00"/>
    <s v="DOUNIALI"/>
    <s v="Tamwilcom"/>
    <d v="2024-12-21T00:00:00"/>
    <m/>
    <s v="13978/2023/1"/>
    <s v="6722/2024/PO/DRE/CAC/ND"/>
    <n v="4440408"/>
    <n v="2664244.7999999998"/>
    <n v="444040.80000000005"/>
    <d v="2024-11-07T00:00:00"/>
    <x v="1"/>
    <s v="Valide"/>
    <x v="1"/>
    <x v="0"/>
    <s v="KO"/>
    <x v="0"/>
    <n v="4187990"/>
    <n v="2512794"/>
  </r>
  <r>
    <n v="75359106933"/>
    <x v="3"/>
    <n v="10243824033"/>
    <s v="Banque Populaire"/>
    <s v="Centre Affaires Agdal"/>
    <s v="39701/2023/1"/>
    <s v="Mise en place"/>
    <x v="1"/>
    <n v="0.5"/>
    <d v="2023-09-21T00:00:00"/>
    <d v="2025-03-21T00:00:00"/>
    <s v="Réglé"/>
    <d v="2023-08-22T00:00:00"/>
    <d v="2024-06-21T00:00:00"/>
    <s v="OCTROI"/>
    <s v="Front"/>
    <d v="2024-05-15T00:00:00"/>
    <m/>
    <s v="91287/2023/1"/>
    <s v="8457/2024/PO/DRE/CAC/ND"/>
    <n v="4187990"/>
    <n v="2512794"/>
    <n v="418799"/>
    <d v="2024-11-10T00:00:00"/>
    <x v="1"/>
    <s v="Echue"/>
    <x v="0"/>
    <x v="1"/>
    <s v="KO"/>
    <x v="0"/>
    <n v="3129629"/>
    <n v="1877777.4"/>
  </r>
  <r>
    <n v="88540618457"/>
    <x v="3"/>
    <n v="45356727783"/>
    <s v="Managem"/>
    <s v="Centre Affaires Boughaz"/>
    <s v="96656/2023/1"/>
    <s v="Renouvellement"/>
    <x v="0"/>
    <n v="0.6"/>
    <d v="2023-07-15T00:00:00"/>
    <d v="2025-01-15T00:00:00"/>
    <s v="Réglé"/>
    <d v="2023-01-08T00:00:00"/>
    <d v="2024-03-16T00:00:00"/>
    <s v="DOUNIALI"/>
    <s v="Front"/>
    <d v="2024-10-22T00:00:00"/>
    <m/>
    <s v="70485/2023/1"/>
    <s v="1520/2024/PO/DRE/CAC/ND"/>
    <n v="3129629"/>
    <n v="1877777.4"/>
    <n v="312962.90000000002"/>
    <d v="2024-06-27T00:00:00"/>
    <x v="0"/>
    <s v="Echue"/>
    <x v="0"/>
    <x v="1"/>
    <s v="OK"/>
    <x v="1"/>
    <n v="8409594"/>
    <n v="5045756.3999999994"/>
  </r>
  <r>
    <n v="20796053108"/>
    <x v="3"/>
    <n v="90562026962"/>
    <s v="Banque Populaire"/>
    <s v="Centre Affaires Hivernage"/>
    <s v="87777/2023/1"/>
    <s v="Mise en place"/>
    <x v="1"/>
    <n v="0.6"/>
    <d v="2023-04-09T00:00:00"/>
    <d v="2024-10-09T00:00:00"/>
    <s v="Réglé"/>
    <d v="2023-04-16T00:00:00"/>
    <d v="2024-03-30T00:00:00"/>
    <s v="OCTROI"/>
    <s v="Front"/>
    <d v="2024-03-14T00:00:00"/>
    <m/>
    <s v="83529/2023/1"/>
    <s v="1499/2024/PO/DRE/CAC/ND"/>
    <n v="8409594"/>
    <n v="5045756.3999999994"/>
    <n v="840959.4"/>
    <d v="2024-10-14T00:00:00"/>
    <x v="1"/>
    <s v="Echue"/>
    <x v="0"/>
    <x v="1"/>
    <s v="KO"/>
    <x v="1"/>
    <n v="1374187"/>
    <n v="824512.2"/>
  </r>
  <r>
    <n v="42357038278"/>
    <x v="3"/>
    <n v="25814338893"/>
    <s v="Ciments du Maroc"/>
    <s v="Centre Affaires Anfa"/>
    <s v="38168/2023/1"/>
    <s v="Mise en place"/>
    <x v="0"/>
    <n v="0.7"/>
    <d v="2023-09-26T00:00:00"/>
    <d v="2025-03-26T00:00:00"/>
    <s v="Pas réglé"/>
    <m/>
    <m/>
    <m/>
    <m/>
    <m/>
    <m/>
    <s v="52785/2023/1"/>
    <s v="4616/2024/PO/DRE/CAC/ND"/>
    <n v="1374187"/>
    <n v="824512.2"/>
    <n v="137418.70000000001"/>
    <d v="2024-02-04T00:00:00"/>
    <x v="0"/>
    <s v="Echue"/>
    <x v="0"/>
    <x v="1"/>
    <s v="OK"/>
    <x v="0"/>
    <n v="2698256"/>
    <n v="1618953.5999999999"/>
  </r>
  <r>
    <n v="47375773894"/>
    <x v="3"/>
    <n v="93902884451"/>
    <s v="Maghreb Steel"/>
    <s v="Centre Affaires Anfa"/>
    <s v="45604/2023/1"/>
    <s v="Mise en place"/>
    <x v="0"/>
    <n v="0.6"/>
    <d v="2023-07-12T00:00:00"/>
    <d v="2025-01-12T00:00:00"/>
    <s v="Réglé"/>
    <d v="2023-11-09T00:00:00"/>
    <d v="2024-06-30T00:00:00"/>
    <s v="DOUNIALI"/>
    <s v="Front"/>
    <d v="2024-06-24T00:00:00"/>
    <m/>
    <s v="89359/2023/1"/>
    <s v="5508/2024/PO/DRE/CAC/ND"/>
    <n v="2698256"/>
    <n v="1618953.5999999999"/>
    <n v="269825.60000000003"/>
    <d v="2024-03-16T00:00:00"/>
    <x v="0"/>
    <s v="Echue"/>
    <x v="0"/>
    <x v="0"/>
    <s v="OK"/>
    <x v="0"/>
    <n v="2678756"/>
    <n v="1607253.5999999999"/>
  </r>
  <r>
    <n v="50798933242"/>
    <x v="3"/>
    <n v="68331755859"/>
    <s v="OCP Group"/>
    <s v="Centre Affaires Hivernage"/>
    <s v="69823/2023/1"/>
    <s v="Mise en place"/>
    <x v="1"/>
    <n v="0.6"/>
    <d v="2023-01-01T00:00:00"/>
    <d v="2024-07-01T00:00:00"/>
    <s v="Réglé"/>
    <d v="2023-06-21T00:00:00"/>
    <d v="2023-10-22T00:00:00"/>
    <s v="DOUNIALI"/>
    <s v="Front"/>
    <d v="2024-10-19T00:00:00"/>
    <m/>
    <s v="46217/2023/1"/>
    <s v="3138/2024/PO/DRE/CAC/ND"/>
    <n v="2678756"/>
    <n v="1607253.5999999999"/>
    <n v="267875.60000000003"/>
    <d v="2024-11-05T00:00:00"/>
    <x v="1"/>
    <s v="Echue"/>
    <x v="0"/>
    <x v="0"/>
    <s v="KO"/>
    <x v="1"/>
    <n v="1705110"/>
    <n v="1023066"/>
  </r>
  <r>
    <n v="11477317487"/>
    <x v="3"/>
    <n v="99060973408"/>
    <s v="Cosumar"/>
    <s v="Centre Affaires Agdal"/>
    <s v="12603/2023/1"/>
    <s v="Renouvellement"/>
    <x v="1"/>
    <n v="0.6"/>
    <d v="2023-12-22T00:00:00"/>
    <d v="2025-06-22T00:00:00"/>
    <s v="Pas réglé"/>
    <m/>
    <m/>
    <m/>
    <m/>
    <m/>
    <m/>
    <s v="38086/2023/1"/>
    <s v="1001/2024/PO/DRE/CAC/ND"/>
    <n v="1705110"/>
    <n v="1023066"/>
    <n v="170511"/>
    <d v="2024-08-26T00:00:00"/>
    <x v="1"/>
    <s v="Valide"/>
    <x v="1"/>
    <x v="1"/>
    <s v="KO"/>
    <x v="1"/>
    <n v="1076436"/>
    <n v="645861.6"/>
  </r>
  <r>
    <n v="88650741524"/>
    <x v="3"/>
    <n v="18100314624"/>
    <s v="Managem"/>
    <s v="Centre Affaires Palmier"/>
    <s v="26335/2023/1"/>
    <s v="Renouvellement"/>
    <x v="0"/>
    <n v="0.6"/>
    <d v="2023-12-26T00:00:00"/>
    <d v="2025-06-26T00:00:00"/>
    <s v="Pas réglé"/>
    <m/>
    <m/>
    <m/>
    <m/>
    <m/>
    <m/>
    <s v="80476/2023/1"/>
    <s v="8672/2024/PO/DRE/CAC/ND"/>
    <n v="1076436"/>
    <n v="645861.6"/>
    <n v="107643.6"/>
    <d v="2024-04-09T00:00:00"/>
    <x v="0"/>
    <s v="Echue"/>
    <x v="0"/>
    <x v="0"/>
    <s v="OK"/>
    <x v="1"/>
    <n v="9505639"/>
    <n v="5703383.3999999994"/>
  </r>
  <r>
    <n v="98165646298"/>
    <x v="3"/>
    <n v="99002416402"/>
    <s v="Banque Populaire"/>
    <s v="Centre Affaires Boughaz"/>
    <s v="87783/2023/1"/>
    <s v="Mise en place"/>
    <x v="0"/>
    <n v="0.5"/>
    <d v="2023-11-27T00:00:00"/>
    <d v="2025-05-27T00:00:00"/>
    <s v="Réglé"/>
    <d v="2023-02-11T00:00:00"/>
    <d v="2024-04-17T00:00:00"/>
    <s v="OCTROI"/>
    <s v="Front"/>
    <d v="2024-01-22T00:00:00"/>
    <m/>
    <s v="31182/2023/1"/>
    <s v="6249/2024/PO/DRE/CAC/ND"/>
    <n v="9505639"/>
    <n v="5703383.3999999994"/>
    <n v="950563.9"/>
    <d v="2024-04-28T00:00:00"/>
    <x v="0"/>
    <s v="Valide"/>
    <x v="1"/>
    <x v="1"/>
    <s v="OK"/>
    <x v="1"/>
    <n v="2615064"/>
    <n v="1569038.4"/>
  </r>
  <r>
    <n v="74258385123"/>
    <x v="3"/>
    <n v="90124216711"/>
    <s v="Cosumar"/>
    <s v="Centre Affaires Maarif"/>
    <s v="88771/2023/1"/>
    <s v="Mise en place"/>
    <x v="1"/>
    <n v="0.5"/>
    <d v="2023-02-09T00:00:00"/>
    <d v="2024-08-09T00:00:00"/>
    <s v="Réglé"/>
    <d v="2023-03-29T00:00:00"/>
    <d v="2023-11-20T00:00:00"/>
    <s v="OCTROI"/>
    <s v="Front"/>
    <d v="2024-11-11T00:00:00"/>
    <m/>
    <s v="15699/2023/1"/>
    <s v="7311/2024/PO/DRE/CAC/ND"/>
    <n v="2615064"/>
    <n v="1569038.4"/>
    <n v="261506.40000000002"/>
    <d v="2024-03-23T00:00:00"/>
    <x v="1"/>
    <s v="Echue"/>
    <x v="0"/>
    <x v="1"/>
    <s v="KO"/>
    <x v="0"/>
    <n v="6903521"/>
    <n v="4142112.5999999996"/>
  </r>
  <r>
    <n v="37718025624"/>
    <x v="3"/>
    <n v="20729356152"/>
    <s v="Maroc Telecom"/>
    <s v="Centre Affaires Centre Ville"/>
    <s v="42702/2023/1"/>
    <s v="Mise en place"/>
    <x v="1"/>
    <n v="0.5"/>
    <d v="2023-06-19T00:00:00"/>
    <d v="2024-12-19T00:00:00"/>
    <s v="Réglé"/>
    <d v="2023-04-21T00:00:00"/>
    <d v="2023-11-16T00:00:00"/>
    <s v="DOUNIALI"/>
    <s v="Front"/>
    <d v="2024-01-25T00:00:00"/>
    <m/>
    <s v="30004/2023/1"/>
    <s v="7234/2024/PO/DRE/CAC/ND"/>
    <n v="6903521"/>
    <n v="4142112.5999999996"/>
    <n v="690352.10000000009"/>
    <d v="2024-09-13T00:00:00"/>
    <x v="1"/>
    <s v="Valide"/>
    <x v="1"/>
    <x v="1"/>
    <s v="KO"/>
    <x v="0"/>
    <n v="2134592"/>
    <n v="1280755.2"/>
  </r>
  <r>
    <n v="85910502054"/>
    <x v="3"/>
    <n v="96533035946"/>
    <s v="Maroc Telecom"/>
    <s v="Centre Affaires Boughaz"/>
    <s v="16714/2023/1"/>
    <s v="Mise en place"/>
    <x v="1"/>
    <n v="0.6"/>
    <d v="2023-03-21T00:00:00"/>
    <d v="2024-09-21T00:00:00"/>
    <s v="Réglé"/>
    <d v="2023-04-29T00:00:00"/>
    <d v="2023-10-19T00:00:00"/>
    <s v="OCTROI"/>
    <s v="Tamwilcom"/>
    <d v="2024-04-06T00:00:00"/>
    <m/>
    <s v="12477/2023/1"/>
    <s v="3557/2024/PO/DRE/CAC/ND"/>
    <n v="2134592"/>
    <n v="1280755.2"/>
    <n v="213459.20000000001"/>
    <d v="2024-08-12T00:00:00"/>
    <x v="1"/>
    <s v="Valide"/>
    <x v="1"/>
    <x v="1"/>
    <s v="KO"/>
    <x v="0"/>
    <n v="5801413"/>
    <n v="3480847.8"/>
  </r>
  <r>
    <n v="50667569850"/>
    <x v="3"/>
    <n v="57895781582"/>
    <s v="OCP Group"/>
    <s v="Centre Affaires Hivernage"/>
    <s v="27955/2023/1"/>
    <s v="Mise en place"/>
    <x v="1"/>
    <n v="0.7"/>
    <d v="2023-06-11T00:00:00"/>
    <d v="2024-12-11T00:00:00"/>
    <s v="Réglé"/>
    <d v="2023-01-31T00:00:00"/>
    <d v="2024-03-25T00:00:00"/>
    <s v="DOUNIALI"/>
    <s v="Tamwilcom"/>
    <d v="2024-11-10T00:00:00"/>
    <m/>
    <s v="91264/2023/1"/>
    <s v="6290/2024/PO/DRE/CAC/ND"/>
    <n v="5801413"/>
    <n v="3480847.8"/>
    <n v="580141.30000000005"/>
    <d v="2024-06-11T00:00:00"/>
    <x v="1"/>
    <s v="Valide"/>
    <x v="1"/>
    <x v="0"/>
    <s v="KO"/>
    <x v="0"/>
    <n v="5511043"/>
    <n v="3306625.8"/>
  </r>
  <r>
    <n v="56778893000"/>
    <x v="3"/>
    <n v="69383501094"/>
    <s v="Ciments du Maroc"/>
    <s v="Centre Affaires Agdal"/>
    <s v="10730/2023/1"/>
    <s v="Mise en place"/>
    <x v="1"/>
    <n v="0.5"/>
    <d v="2023-07-02T00:00:00"/>
    <d v="2025-01-02T00:00:00"/>
    <s v="Pas réglé"/>
    <m/>
    <m/>
    <m/>
    <m/>
    <m/>
    <m/>
    <s v="34904/2023/1"/>
    <s v="2172/2024/PO/DRE/CAC/ND"/>
    <n v="5511043"/>
    <n v="3306625.8"/>
    <n v="551104.30000000005"/>
    <d v="2024-01-03T00:00:00"/>
    <x v="1"/>
    <s v="Echue"/>
    <x v="0"/>
    <x v="1"/>
    <s v="KO"/>
    <x v="1"/>
    <n v="3497936"/>
    <n v="2098761.6"/>
  </r>
  <r>
    <n v="58417588945"/>
    <x v="3"/>
    <n v="34938262818"/>
    <s v="Managem"/>
    <s v="Centre Affaires Hivernage"/>
    <s v="92451/2023/1"/>
    <s v="Renouvellement"/>
    <x v="1"/>
    <n v="0.5"/>
    <d v="2023-05-18T00:00:00"/>
    <d v="2024-11-18T00:00:00"/>
    <s v="Pas réglé"/>
    <m/>
    <m/>
    <m/>
    <m/>
    <m/>
    <m/>
    <s v="40938/2023/1"/>
    <s v="9980/2024/PO/DRE/CAC/ND"/>
    <n v="3497936"/>
    <n v="2098761.6"/>
    <n v="349793.60000000003"/>
    <d v="2024-12-23T00:00:00"/>
    <x v="1"/>
    <s v="Valide"/>
    <x v="1"/>
    <x v="0"/>
    <s v="KO"/>
    <x v="1"/>
    <n v="7042697"/>
    <n v="4225618.2"/>
  </r>
  <r>
    <n v="95560547842"/>
    <x v="3"/>
    <n v="12287361685"/>
    <s v="OCP Group"/>
    <s v="Centre Affaires Agdal"/>
    <s v="84334/2023/1"/>
    <s v="Renouvellement"/>
    <x v="1"/>
    <n v="0.6"/>
    <d v="2023-05-26T00:00:00"/>
    <d v="2024-11-26T00:00:00"/>
    <s v="Pas réglé"/>
    <m/>
    <m/>
    <m/>
    <m/>
    <m/>
    <m/>
    <s v="84783/2023/1"/>
    <s v="4767/2024/PO/DRE/CAC/ND"/>
    <n v="7042697"/>
    <n v="4225618.2"/>
    <n v="704269.70000000007"/>
    <d v="2024-08-24T00:00:00"/>
    <x v="1"/>
    <s v="Valide"/>
    <x v="1"/>
    <x v="1"/>
    <s v="KO"/>
    <x v="0"/>
    <n v="9946527"/>
    <n v="5967916.2000000002"/>
  </r>
  <r>
    <n v="92020056927"/>
    <x v="3"/>
    <n v="27797771216"/>
    <s v="Maroc Telecom"/>
    <s v="Centre Affaires Maarif"/>
    <s v="56667/2023/1"/>
    <s v="Mise en place"/>
    <x v="1"/>
    <n v="0.6"/>
    <d v="2023-10-10T00:00:00"/>
    <d v="2025-04-10T00:00:00"/>
    <s v="Réglé"/>
    <d v="2023-11-09T00:00:00"/>
    <d v="2024-06-07T00:00:00"/>
    <s v="OCTROI"/>
    <s v="Front"/>
    <d v="2024-11-11T00:00:00"/>
    <m/>
    <s v="29253/2023/1"/>
    <s v="6824/2024/PO/DRE/CAC/ND"/>
    <n v="9946527"/>
    <n v="5967916.2000000002"/>
    <n v="994652.70000000007"/>
    <d v="2024-08-09T00:00:00"/>
    <x v="1"/>
    <s v="Echue"/>
    <x v="0"/>
    <x v="1"/>
    <s v="KO"/>
    <x v="0"/>
    <n v="5498902"/>
    <n v="3299341.1999999997"/>
  </r>
  <r>
    <n v="61713150700"/>
    <x v="3"/>
    <n v="83658958567"/>
    <s v="Maroc Telecom"/>
    <s v="Centre Affaires Maarif"/>
    <s v="80959/2023/1"/>
    <s v="Mise en place"/>
    <x v="1"/>
    <n v="0.6"/>
    <d v="2023-08-11T00:00:00"/>
    <d v="2025-02-11T00:00:00"/>
    <s v="Pas réglé"/>
    <m/>
    <m/>
    <m/>
    <m/>
    <m/>
    <m/>
    <s v="99291/2023/1"/>
    <s v="6001/2024/PO/DRE/CAC/ND"/>
    <n v="5498902"/>
    <n v="3299341.1999999997"/>
    <n v="549890.20000000007"/>
    <d v="2024-01-18T00:00:00"/>
    <x v="1"/>
    <s v="Echue"/>
    <x v="0"/>
    <x v="1"/>
    <s v="KO"/>
    <x v="1"/>
    <n v="1769485"/>
    <n v="1061691"/>
  </r>
  <r>
    <n v="12167420894"/>
    <x v="3"/>
    <n v="58006604994"/>
    <s v="2M Atlas"/>
    <s v="Centre Affaires Agdal"/>
    <s v="94600/2023/1"/>
    <s v="Mise en place"/>
    <x v="0"/>
    <n v="0.7"/>
    <d v="2023-04-23T00:00:00"/>
    <d v="2024-10-23T00:00:00"/>
    <s v="Réglé"/>
    <d v="2023-09-24T00:00:00"/>
    <d v="2023-07-15T00:00:00"/>
    <s v="OCTROI"/>
    <s v="Front"/>
    <d v="2024-11-30T00:00:00"/>
    <m/>
    <s v="88288/2023/1"/>
    <s v="2510/2024/PO/DRE/CAC/ND"/>
    <n v="1769485"/>
    <n v="1061691"/>
    <n v="176948.5"/>
    <d v="2024-04-22T00:00:00"/>
    <x v="0"/>
    <s v="Valide"/>
    <x v="1"/>
    <x v="0"/>
    <s v="OK"/>
    <x v="1"/>
    <n v="9537500"/>
    <n v="5722500"/>
  </r>
  <r>
    <n v="93421876714"/>
    <x v="3"/>
    <n v="62149273434"/>
    <s v="Managem"/>
    <s v="Centre Affaires Chellah"/>
    <s v="87606/2023/1"/>
    <s v="Mise en place"/>
    <x v="1"/>
    <n v="0.5"/>
    <d v="2023-06-20T00:00:00"/>
    <d v="2024-12-20T00:00:00"/>
    <s v="Pas réglé"/>
    <m/>
    <m/>
    <m/>
    <m/>
    <m/>
    <m/>
    <s v="68692/2023/1"/>
    <s v="1727/2024/PO/DRE/CAC/ND"/>
    <n v="9537500"/>
    <n v="5722500"/>
    <n v="953750"/>
    <d v="2024-04-28T00:00:00"/>
    <x v="1"/>
    <s v="Echue"/>
    <x v="0"/>
    <x v="1"/>
    <s v="KO"/>
    <x v="1"/>
    <n v="2025560"/>
    <n v="1215336"/>
  </r>
  <r>
    <n v="41464775056"/>
    <x v="3"/>
    <n v="34157273446"/>
    <s v="Ciments du Maroc"/>
    <s v="Centre Affaires Agdal"/>
    <s v="86418/2023/1"/>
    <s v="Renouvellement"/>
    <x v="0"/>
    <n v="0.6"/>
    <d v="2023-08-14T00:00:00"/>
    <d v="2025-02-14T00:00:00"/>
    <s v="Pas réglé"/>
    <m/>
    <m/>
    <m/>
    <m/>
    <m/>
    <m/>
    <s v="91087/2023/1"/>
    <s v="5732/2024/PO/DRE/CAC/ND"/>
    <n v="2025560"/>
    <n v="1215336"/>
    <n v="202556"/>
    <d v="2024-09-03T00:00:00"/>
    <x v="0"/>
    <s v="Echue"/>
    <x v="0"/>
    <x v="0"/>
    <s v="OK"/>
    <x v="0"/>
    <n v="8831912"/>
    <n v="5299147.2"/>
  </r>
  <r>
    <n v="62264282892"/>
    <x v="3"/>
    <n v="71085168478"/>
    <s v="Cosumar"/>
    <s v="Centre Affaires Hassan"/>
    <s v="99154/2023/1"/>
    <s v="Renouvellement"/>
    <x v="0"/>
    <n v="0.6"/>
    <d v="2023-12-25T00:00:00"/>
    <d v="2025-06-25T00:00:00"/>
    <s v="Pas réglé"/>
    <m/>
    <m/>
    <m/>
    <m/>
    <m/>
    <m/>
    <s v="27881/2023/1"/>
    <s v="9866/2024/PO/DRE/CAC/ND"/>
    <n v="8831912"/>
    <n v="5299147.2"/>
    <n v="883191.20000000007"/>
    <d v="2024-06-09T00:00:00"/>
    <x v="0"/>
    <s v="Valide"/>
    <x v="1"/>
    <x v="1"/>
    <s v="OK"/>
    <x v="0"/>
    <n v="3141522"/>
    <n v="1884913.2"/>
  </r>
  <r>
    <n v="64312844161"/>
    <x v="3"/>
    <n v="18684810209"/>
    <s v="Maghreb Steel"/>
    <s v="Centre Affaires Hivernage"/>
    <s v="49169/2023/1"/>
    <s v="Renouvellement"/>
    <x v="0"/>
    <n v="0.7"/>
    <d v="2023-01-05T00:00:00"/>
    <d v="2024-07-05T00:00:00"/>
    <s v="Réglé"/>
    <d v="2023-05-26T00:00:00"/>
    <d v="2023-10-20T00:00:00"/>
    <s v="DOUNIALI"/>
    <s v="Tamwilcom"/>
    <d v="2024-08-10T00:00:00"/>
    <m/>
    <s v="45078/2023/1"/>
    <s v="2261/2024/PO/DRE/CAC/ND"/>
    <n v="3141522"/>
    <n v="1884913.2"/>
    <n v="314152.2"/>
    <d v="2024-11-10T00:00:00"/>
    <x v="0"/>
    <s v="Echue"/>
    <x v="0"/>
    <x v="1"/>
    <s v="OK"/>
    <x v="0"/>
    <n v="3594055"/>
    <n v="2156433"/>
  </r>
  <r>
    <n v="23189182981"/>
    <x v="3"/>
    <n v="95404978898"/>
    <s v="Maroc Telecom"/>
    <s v="Centre Affaires Maarif"/>
    <s v="85029/2023/1"/>
    <s v="Mise en place"/>
    <x v="1"/>
    <n v="0.6"/>
    <d v="2023-05-26T00:00:00"/>
    <d v="2024-11-26T00:00:00"/>
    <s v="Pas réglé"/>
    <m/>
    <m/>
    <m/>
    <m/>
    <m/>
    <m/>
    <s v="20846/2023/1"/>
    <s v="9282/2024/PO/DRE/CAC/ND"/>
    <n v="3594055"/>
    <n v="2156433"/>
    <n v="359405.5"/>
    <d v="2024-09-02T00:00:00"/>
    <x v="1"/>
    <s v="Echue"/>
    <x v="0"/>
    <x v="0"/>
    <s v="KO"/>
    <x v="0"/>
    <n v="5893149"/>
    <n v="3535889.4"/>
  </r>
  <r>
    <n v="74559919491"/>
    <x v="3"/>
    <n v="36813905508"/>
    <s v="Ciments du Maroc"/>
    <s v="Centre Affaires Anfa"/>
    <s v="54067/2023/1"/>
    <s v="Renouvellement"/>
    <x v="0"/>
    <n v="0.6"/>
    <d v="2023-04-17T00:00:00"/>
    <d v="2024-10-17T00:00:00"/>
    <s v="Pas réglé"/>
    <m/>
    <m/>
    <m/>
    <m/>
    <m/>
    <m/>
    <s v="73528/2023/1"/>
    <s v="9703/2024/PO/DRE/CAC/ND"/>
    <n v="5893149"/>
    <n v="3535889.4"/>
    <n v="589314.9"/>
    <d v="2024-12-16T00:00:00"/>
    <x v="0"/>
    <s v="Valide"/>
    <x v="1"/>
    <x v="0"/>
    <s v="OK"/>
    <x v="0"/>
    <n v="1678250"/>
    <n v="1006950"/>
  </r>
  <r>
    <n v="34292930841"/>
    <x v="3"/>
    <n v="71775980750"/>
    <s v="Ciments du Maroc"/>
    <s v="Centre Affaires Maarif"/>
    <s v="37916/2023/1"/>
    <s v="Mise en place"/>
    <x v="0"/>
    <n v="0.7"/>
    <d v="2023-06-21T00:00:00"/>
    <d v="2024-12-21T00:00:00"/>
    <s v="Réglé"/>
    <d v="2023-06-08T00:00:00"/>
    <d v="2024-06-17T00:00:00"/>
    <s v="DOUNIALI"/>
    <s v="Front"/>
    <d v="2024-01-26T00:00:00"/>
    <m/>
    <s v="64882/2023/1"/>
    <s v="4743/2024/PO/DRE/CAC/ND"/>
    <n v="1678250"/>
    <n v="1006950"/>
    <n v="167825"/>
    <d v="2024-10-15T00:00:00"/>
    <x v="0"/>
    <s v="Valide"/>
    <x v="1"/>
    <x v="0"/>
    <s v="OK"/>
    <x v="1"/>
    <n v="7656218"/>
    <n v="4593730.8"/>
  </r>
  <r>
    <n v="41046523204"/>
    <x v="3"/>
    <n v="49280273410"/>
    <s v="Maghreb Steel"/>
    <s v="Centre Affaires Centre Ville"/>
    <s v="83571/2023/1"/>
    <s v="Renouvellement"/>
    <x v="1"/>
    <n v="0.6"/>
    <d v="2023-02-15T00:00:00"/>
    <d v="2024-08-15T00:00:00"/>
    <s v="Réglé"/>
    <d v="2023-02-10T00:00:00"/>
    <d v="2023-12-01T00:00:00"/>
    <s v="DOUNIALI"/>
    <s v="Tamwilcom"/>
    <d v="2024-12-26T00:00:00"/>
    <m/>
    <s v="74712/2023/1"/>
    <s v="4347/2024/PO/DRE/CAC/ND"/>
    <n v="7656218"/>
    <n v="4593730.8"/>
    <n v="765621.8"/>
    <d v="2024-01-12T00:00:00"/>
    <x v="1"/>
    <s v="Echue"/>
    <x v="0"/>
    <x v="1"/>
    <s v="KO"/>
    <x v="0"/>
    <n v="5719111"/>
    <n v="3431466.6"/>
  </r>
  <r>
    <n v="48095103177"/>
    <x v="3"/>
    <n v="35147762599"/>
    <s v="Banque Populaire"/>
    <s v="Centre Affaires Maarif"/>
    <s v="34951/2023/1"/>
    <s v="Mise en place"/>
    <x v="1"/>
    <n v="0.5"/>
    <d v="2023-11-18T00:00:00"/>
    <d v="2025-05-18T00:00:00"/>
    <s v="Réglé"/>
    <d v="2023-12-14T00:00:00"/>
    <d v="2024-09-05T00:00:00"/>
    <s v="DOUNIALI"/>
    <s v="Tamwilcom"/>
    <d v="2024-07-31T00:00:00"/>
    <m/>
    <s v="13173/2023/1"/>
    <s v="2268/2024/PO/DRE/CAC/ND"/>
    <n v="5719111"/>
    <n v="3431466.6"/>
    <n v="571911.1"/>
    <d v="2024-03-02T00:00:00"/>
    <x v="1"/>
    <s v="Valide"/>
    <x v="1"/>
    <x v="1"/>
    <s v="KO"/>
    <x v="1"/>
    <n v="7585324"/>
    <n v="4551194.3999999994"/>
  </r>
  <r>
    <n v="71400084173"/>
    <x v="3"/>
    <n v="18311750849"/>
    <s v="Maghreb Steel"/>
    <s v="Centre Affaires Gueliz"/>
    <s v="38743/2023/1"/>
    <s v="Mise en place"/>
    <x v="1"/>
    <n v="0.7"/>
    <d v="2023-05-21T00:00:00"/>
    <d v="2024-11-21T00:00:00"/>
    <s v="Pas réglé"/>
    <m/>
    <m/>
    <m/>
    <m/>
    <m/>
    <m/>
    <s v="77513/2023/1"/>
    <s v="7541/2024/PO/DRE/CAC/ND"/>
    <n v="7585324"/>
    <n v="4551194.3999999994"/>
    <n v="758532.4"/>
    <d v="2024-10-29T00:00:00"/>
    <x v="1"/>
    <s v="Echue"/>
    <x v="0"/>
    <x v="1"/>
    <s v="KO"/>
    <x v="1"/>
    <n v="7585324"/>
    <n v="4551194.3999999994"/>
  </r>
  <r>
    <m/>
    <x v="4"/>
    <m/>
    <m/>
    <m/>
    <m/>
    <m/>
    <x v="2"/>
    <m/>
    <m/>
    <m/>
    <m/>
    <m/>
    <m/>
    <m/>
    <m/>
    <m/>
    <m/>
    <m/>
    <m/>
    <m/>
    <m/>
    <m/>
    <m/>
    <x v="2"/>
    <m/>
    <x v="2"/>
    <x v="2"/>
    <m/>
    <x v="2"/>
    <e v="#REF!"/>
    <m/>
  </r>
  <r>
    <m/>
    <x v="4"/>
    <m/>
    <m/>
    <m/>
    <m/>
    <m/>
    <x v="2"/>
    <m/>
    <m/>
    <m/>
    <m/>
    <m/>
    <m/>
    <m/>
    <m/>
    <m/>
    <m/>
    <m/>
    <m/>
    <m/>
    <m/>
    <m/>
    <m/>
    <x v="2"/>
    <m/>
    <x v="2"/>
    <x v="2"/>
    <m/>
    <x v="2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49683-B722-40A4-80A1-C6D8DE310BD2}" name="Tableau croisé dynamique4" cacheId="1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3" rowHeaderCaption="Statut garantie">
  <location ref="AS2:AU5" firstHeaderRow="0" firstDataRow="1" firstDataCol="1"/>
  <pivotFields count="32">
    <pivotField showAll="0"/>
    <pivotField showAll="0">
      <items count="6">
        <item h="1" x="0"/>
        <item h="1" x="1"/>
        <item h="1"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26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ombre de Statut Garantie" fld="26" subtotal="count" baseField="0" baseItem="0"/>
    <dataField name="Somme de Montant garanties" fld="31" baseField="26" baseItem="0" numFmtId="43"/>
  </dataFields>
  <formats count="9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26" type="button" dataOnly="0" labelOnly="1" outline="0" axis="axisRow" fieldPosition="0"/>
    </format>
    <format dxfId="96">
      <pivotArea dataOnly="0" labelOnly="1" fieldPosition="0">
        <references count="1">
          <reference field="26" count="0"/>
        </references>
      </pivotArea>
    </format>
    <format dxfId="95">
      <pivotArea dataOnly="0" labelOnly="1" grandRow="1" outline="0" fieldPosition="0"/>
    </format>
    <format dxfId="94">
      <pivotArea dataOnly="0" labelOnly="1" outline="0" axis="axisValues" fieldPosition="0"/>
    </format>
    <format dxfId="93">
      <pivotArea collapsedLevelsAreSubtotals="1" fieldPosition="0">
        <references count="2">
          <reference field="4294967294" count="1" selected="0">
            <x v="1"/>
          </reference>
          <reference field="26" count="1">
            <x v="0"/>
          </reference>
        </references>
      </pivotArea>
    </format>
    <format dxfId="92">
      <pivotArea outline="0" fieldPosition="0">
        <references count="1">
          <reference field="4294967294" count="1">
            <x v="1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ABDF6-48C1-4789-868E-37029C640B96}" name="Tableau croisé dynamique8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U3:V6" firstHeaderRow="1" firstDataRow="1" firstDataCol="1"/>
  <pivotFields count="32"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/>
    <pivotField numFmtId="9"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numFmtId="167" showAll="0"/>
    <pivotField numFmtId="167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Nombre de REN/MEP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79A88B-07EF-43E0-A370-1783A616DF34}" name="Tableau croisé dynamique3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2:F5" firstHeaderRow="1" firstDataRow="1" firstDataCol="1"/>
  <pivotFields count="32"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numFmtId="167" showAll="0"/>
    <pivotField numFmtId="167" showAll="0"/>
    <pivotField numFmtId="14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26"/>
  </rowFields>
  <rowItems count="3">
    <i>
      <x/>
    </i>
    <i>
      <x v="1"/>
    </i>
    <i t="grand">
      <x/>
    </i>
  </rowItems>
  <colItems count="1">
    <i/>
  </colItems>
  <dataFields count="1">
    <dataField name="Somme de Montant garanties" fld="31" baseField="0" baseItem="0"/>
  </dataFields>
  <formats count="1">
    <format dxfId="100">
      <pivotArea collapsedLevelsAreSubtotals="1" fieldPosition="0">
        <references count="1">
          <reference field="2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3767E-734F-487C-B6A5-A617C8E6DB83}" name="Tableau croisé dynamique11" cacheId="1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1" rowHeaderCaption="Statut garantie">
  <location ref="M3:N5" firstHeaderRow="1" firstDataRow="1" firstDataCol="1"/>
  <pivotFields count="32">
    <pivotField showAll="0"/>
    <pivotField showAll="0">
      <items count="6">
        <item h="1" x="0"/>
        <item h="1" x="1"/>
        <item h="1"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n="Echue" x="0"/>
        <item n="Valide" x="1"/>
        <item h="1" x="2"/>
        <item t="default"/>
      </items>
    </pivotField>
    <pivotField showAll="0"/>
    <pivotField showAll="0"/>
    <pivotField axis="axisRow" dataField="1" showAll="0">
      <items count="4">
        <item x="0"/>
        <item h="1" x="1"/>
        <item h="1" x="2"/>
        <item t="default"/>
      </items>
    </pivotField>
    <pivotField showAll="0"/>
    <pivotField showAll="0"/>
  </pivotFields>
  <rowFields count="1">
    <field x="29"/>
  </rowFields>
  <rowItems count="2">
    <i>
      <x/>
    </i>
    <i t="grand">
      <x/>
    </i>
  </rowItems>
  <colItems count="1">
    <i/>
  </colItems>
  <dataFields count="1">
    <dataField name="Nombre de Flag a renouveller " fld="29" subtotal="count" baseField="0" baseItem="0"/>
  </dataFields>
  <formats count="15"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26" type="button" dataOnly="0" labelOnly="1" outline="0"/>
    </format>
    <format dxfId="112">
      <pivotArea dataOnly="0" labelOnly="1" grandRow="1" outline="0" fieldPosition="0"/>
    </format>
    <format dxfId="111">
      <pivotArea dataOnly="0" labelOnly="1" outline="0" axis="axisValues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26" type="button" dataOnly="0" labelOnly="1" outline="0"/>
    </format>
    <format dxfId="107">
      <pivotArea dataOnly="0" labelOnly="1" grandRow="1" outline="0" fieldPosition="0"/>
    </format>
    <format dxfId="106">
      <pivotArea dataOnly="0" labelOnly="1" outline="0" axis="axisValues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26" type="button" dataOnly="0" labelOnly="1" outline="0"/>
    </format>
    <format dxfId="102">
      <pivotArea dataOnly="0" labelOnly="1" grandRow="1" outline="0" fieldPosition="0"/>
    </format>
    <format dxfId="101">
      <pivotArea dataOnly="0" labelOnly="1" outline="0" axis="axisValues" fieldPosition="0"/>
    </format>
  </formats>
  <chartFormats count="5"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3">
      <pivotArea type="data" outline="0" fieldPosition="0">
        <references count="2">
          <reference field="4294967294" count="1" selected="0">
            <x v="0"/>
          </reference>
          <reference field="29" count="1" selected="0">
            <x v="0"/>
          </reference>
        </references>
      </pivotArea>
    </chartFormat>
    <chartFormat chart="3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7">
      <pivotArea type="data" outline="0" fieldPosition="0">
        <references count="2">
          <reference field="4294967294" count="1" selected="0">
            <x v="0"/>
          </reference>
          <reference field="29" count="1" selected="0">
            <x v="0"/>
          </reference>
        </references>
      </pivotArea>
    </chartFormat>
  </chartFormats>
  <pivotTableStyleInfo name="PivotStyleDark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277CE7-954A-4BD3-8102-62CBC62D9FEB}" name="Tableau croisé dynamique38" cacheId="1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4" rowHeaderCaption="comission payée">
  <location ref="A2:C7" firstHeaderRow="0" firstDataRow="1" firstDataCol="1"/>
  <pivotFields count="32">
    <pivotField showAll="0"/>
    <pivotField axis="axisRow" showAll="0">
      <items count="6">
        <item h="1" x="0"/>
        <item h="1" x="1"/>
        <item h="1"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1"/>
        <item x="0"/>
        <item h="1" x="2"/>
        <item t="default"/>
      </items>
    </pivotField>
    <pivotField showAll="0"/>
    <pivotField showAll="0"/>
    <pivotField dataField="1" showAll="0"/>
    <pivotField showAll="0"/>
  </pivotFields>
  <rowFields count="2">
    <field x="27"/>
    <field x="1"/>
  </rowFields>
  <rowItems count="5">
    <i>
      <x/>
    </i>
    <i r="1">
      <x v="3"/>
    </i>
    <i>
      <x v="1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Nombre de Commission Payée" fld="27" subtotal="count" baseField="0" baseItem="0"/>
    <dataField name="Somme de Montant lignes" fld="30" baseField="0" baseItem="0" numFmtId="43"/>
  </dataFields>
  <formats count="22"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7" type="button" dataOnly="0" labelOnly="1" outline="0"/>
    </format>
    <format dxfId="134">
      <pivotArea dataOnly="0" labelOnly="1" grandRow="1" outline="0" fieldPosition="0"/>
    </format>
    <format dxfId="133">
      <pivotArea dataOnly="0" labelOnly="1" outline="0" axis="axisValues" fieldPosition="0"/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27" type="button" dataOnly="0" labelOnly="1" outline="0" axis="axisRow" fieldPosition="0"/>
    </format>
    <format dxfId="129">
      <pivotArea dataOnly="0" labelOnly="1" fieldPosition="0">
        <references count="1">
          <reference field="27" count="0"/>
        </references>
      </pivotArea>
    </format>
    <format dxfId="128">
      <pivotArea dataOnly="0" labelOnly="1" grandRow="1" outline="0" fieldPosition="0"/>
    </format>
    <format dxfId="127">
      <pivotArea dataOnly="0" labelOnly="1" outline="0" axis="axisValues" fieldPosition="0"/>
    </format>
    <format dxfId="1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5">
      <pivotArea outline="0" collapsedLevelsAreSubtotals="1" fieldPosition="0"/>
    </format>
    <format dxfId="124">
      <pivotArea dataOnly="0" labelOnly="1" fieldPosition="0">
        <references count="1">
          <reference field="27" count="0"/>
        </references>
      </pivotArea>
    </format>
    <format dxfId="123">
      <pivotArea dataOnly="0" labelOnly="1" grandRow="1" outline="0" fieldPosition="0"/>
    </format>
    <format dxfId="122">
      <pivotArea dataOnly="0" labelOnly="1" fieldPosition="0">
        <references count="2">
          <reference field="1" count="0"/>
          <reference field="27" count="1" selected="0">
            <x v="0"/>
          </reference>
        </references>
      </pivotArea>
    </format>
    <format dxfId="121">
      <pivotArea dataOnly="0" labelOnly="1" fieldPosition="0">
        <references count="2">
          <reference field="1" count="0"/>
          <reference field="27" count="1" selected="0">
            <x v="1"/>
          </reference>
        </references>
      </pivotArea>
    </format>
    <format dxfId="120">
      <pivotArea outline="0" collapsedLevelsAreSubtotals="1" fieldPosition="0"/>
    </format>
    <format dxfId="119">
      <pivotArea dataOnly="0" labelOnly="1" fieldPosition="0">
        <references count="1">
          <reference field="27" count="0"/>
        </references>
      </pivotArea>
    </format>
    <format dxfId="118">
      <pivotArea dataOnly="0" labelOnly="1" grandRow="1" outline="0" fieldPosition="0"/>
    </format>
    <format dxfId="117">
      <pivotArea dataOnly="0" labelOnly="1" fieldPosition="0">
        <references count="2">
          <reference field="1" count="0"/>
          <reference field="27" count="1" selected="0">
            <x v="0"/>
          </reference>
        </references>
      </pivotArea>
    </format>
    <format dxfId="116">
      <pivotArea dataOnly="0" labelOnly="1" fieldPosition="0">
        <references count="2">
          <reference field="1" count="0"/>
          <reference field="27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D1683-5A50-4CED-BD7E-7001D173C184}" name="Tableau croisé dynamique5" cacheId="11" applyNumberFormats="0" applyBorderFormats="0" applyFontFormats="0" applyPatternFormats="0" applyAlignmentFormats="0" applyWidthHeightFormats="1" dataCaption="Valeurs" updatedVersion="8" minRefreshableVersion="5" showDrill="0" useAutoFormatting="1" itemPrintTitles="1" createdVersion="8" indent="0" compact="0" compactData="0" multipleFieldFilters="0" chartFormat="61" rowHeaderCaption="statut physique">
  <location ref="H3:I6" firstHeaderRow="1" firstDataRow="1" firstDataCol="1"/>
  <pivotFields count="32">
    <pivotField compact="0" outline="0" showAll="0" defaultSubtotal="0"/>
    <pivotField compact="0" outline="0" showAll="0" defaultSubtotal="0">
      <items count="5">
        <item h="1" x="0"/>
        <item h="1" x="1"/>
        <item h="1" x="2"/>
        <item x="3"/>
        <item h="1"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dataField="1" compact="0" outline="0" showAll="0" defaultSubtotal="0">
      <items count="3">
        <item n="KO" x="1"/>
        <item n="OK" x="0"/>
        <item h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">
        <item x="1"/>
        <item x="0"/>
        <item h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Statut acte" fld="7" subtotal="count" baseField="0" baseItem="0"/>
  </dataFields>
  <formats count="8">
    <format dxfId="145">
      <pivotArea outline="0" collapsedLevelsAreSubtotals="1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24" type="button" dataOnly="0" labelOnly="1" outline="0"/>
    </format>
    <format dxfId="141">
      <pivotArea dataOnly="0" labelOnly="1" grandRow="1" outline="0" fieldPosition="0"/>
    </format>
    <format dxfId="1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9">
      <pivotArea outline="0" collapsedLevelsAreSubtotals="1" fieldPosition="0"/>
    </format>
    <format dxfId="138">
      <pivotArea outline="0" collapsedLevelsAreSubtotals="1" fieldPosition="0"/>
    </format>
  </formats>
  <chartFormats count="9">
    <chartFormat chart="1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8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2" format="29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60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3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60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dateBetween" evalOrder="-1" id="6" name="Date accord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C53C9-B623-4743-89DC-DFA5467D4782}" name="Tableau croisé dynamique6" cacheId="1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4" rowHeaderCaption="Statut garantie">
  <location ref="AD3:AE6" firstHeaderRow="1" firstDataRow="1" firstDataCol="1"/>
  <pivotFields count="32">
    <pivotField showAll="0"/>
    <pivotField showAll="0">
      <items count="6">
        <item h="1" x="0"/>
        <item h="1" x="1"/>
        <item h="1"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n="Echue" x="0"/>
        <item n="Valide" x="1"/>
        <item h="1" x="2"/>
        <item t="default"/>
      </items>
    </pivotField>
    <pivotField showAll="0"/>
    <pivotField showAll="0"/>
    <pivotField showAll="0"/>
    <pivotField showAll="0"/>
    <pivotField showAll="0"/>
  </pivotFields>
  <rowFields count="1">
    <field x="26"/>
  </rowFields>
  <rowItems count="3">
    <i>
      <x/>
    </i>
    <i>
      <x v="1"/>
    </i>
    <i t="grand">
      <x/>
    </i>
  </rowItems>
  <colItems count="1">
    <i/>
  </colItems>
  <dataFields count="1">
    <dataField name="Nombre de Statut Garantie" fld="26" subtotal="count" baseField="0" baseItem="0"/>
  </dataFields>
  <formats count="6">
    <format dxfId="151">
      <pivotArea type="all" dataOnly="0" outline="0" fieldPosition="0"/>
    </format>
    <format dxfId="150">
      <pivotArea outline="0" collapsedLevelsAreSubtotals="1" fieldPosition="0"/>
    </format>
    <format dxfId="149">
      <pivotArea field="26" type="button" dataOnly="0" labelOnly="1" outline="0" axis="axisRow" fieldPosition="0"/>
    </format>
    <format dxfId="148">
      <pivotArea dataOnly="0" labelOnly="1" fieldPosition="0">
        <references count="1">
          <reference field="26" count="0"/>
        </references>
      </pivotArea>
    </format>
    <format dxfId="147">
      <pivotArea dataOnly="0" labelOnly="1" grandRow="1" outline="0" fieldPosition="0"/>
    </format>
    <format dxfId="146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0A2D3-81C5-40A4-996E-61184FB58273}" name="Tableau croisé dynamique17" cacheId="11" applyNumberFormats="0" applyBorderFormats="0" applyFontFormats="0" applyPatternFormats="0" applyAlignmentFormats="0" applyWidthHeightFormats="1" dataCaption="Valeurs" updatedVersion="8" minRefreshableVersion="5" useAutoFormatting="1" itemPrintTitles="1" createdVersion="8" indent="0" outline="1" outlineData="1" multipleFieldFilters="0" chartFormat="36" rowHeaderCaption="statut physique">
  <location ref="Q2:S7" firstHeaderRow="0" firstDataRow="1" firstDataCol="1"/>
  <pivotFields count="32">
    <pivotField showAll="0"/>
    <pivotField axis="axisRow" showAll="0">
      <items count="6">
        <item h="1" x="0"/>
        <item h="1" x="1"/>
        <item h="1" x="2"/>
        <item x="3"/>
        <item h="1" sd="0" x="4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7"/>
    <field x="1"/>
  </rowFields>
  <rowItems count="5">
    <i>
      <x/>
    </i>
    <i r="1">
      <x v="3"/>
    </i>
    <i>
      <x v="1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Nombre de Statut Acte Physique" fld="7" subtotal="count" baseField="0" baseItem="0"/>
    <dataField name="Somme de Montant Garantie" fld="21" baseField="0" baseItem="0"/>
  </dataFields>
  <formats count="6">
    <format dxfId="157">
      <pivotArea outline="0" collapsedLevelsAreSubtotals="1" fieldPosition="0"/>
    </format>
    <format dxfId="156">
      <pivotArea type="all" dataOnly="0" outline="0" fieldPosition="0"/>
    </format>
    <format dxfId="155">
      <pivotArea outline="0" collapsedLevelsAreSubtotals="1" fieldPosition="0"/>
    </format>
    <format dxfId="154">
      <pivotArea field="24" type="button" dataOnly="0" labelOnly="1" outline="0"/>
    </format>
    <format dxfId="153">
      <pivotArea dataOnly="0" labelOnly="1" grandRow="1" outline="0" fieldPosition="0"/>
    </format>
    <format dxfId="1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5">
    <chartFormat chart="14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6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7" count="1" selected="0">
            <x v="1"/>
          </reference>
        </references>
      </pivotArea>
    </chartFormat>
    <chartFormat chart="31" format="7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7" count="1" selected="0">
            <x v="1"/>
          </reference>
        </references>
      </pivotArea>
    </chartFormat>
    <chartFormat chart="31" format="8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7" count="1" selected="0">
            <x v="1"/>
          </reference>
        </references>
      </pivotArea>
    </chartFormat>
    <chartFormat chart="31" format="9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7" count="1" selected="0">
            <x v="0"/>
          </reference>
        </references>
      </pivotArea>
    </chartFormat>
    <chartFormat chart="31" format="10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7" count="1" selected="0">
            <x v="1"/>
          </reference>
        </references>
      </pivotArea>
    </chartFormat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7" count="1" selected="0">
            <x v="0"/>
          </reference>
        </references>
      </pivotArea>
    </chartFormat>
    <chartFormat chart="35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7" count="1" selected="0">
            <x v="1"/>
          </reference>
        </references>
      </pivotArea>
    </chartFormat>
    <chartFormat chart="35" format="4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7" count="1" selected="0">
            <x v="0"/>
          </reference>
        </references>
      </pivotArea>
    </chartFormat>
    <chartFormat chart="35" format="5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0" type="dateBetween" evalOrder="-1" id="26" name="Date Échéance">
      <autoFilter ref="A1">
        <filterColumn colId="0">
          <customFilters and="1">
            <customFilter operator="greaterThanOrEqual" val="45901"/>
            <customFilter operator="lessThanOrEqual" val="459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9" type="dateBetween" evalOrder="-1" id="6" name="Date accord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4E76E3-2B11-4AAC-994B-0D4C7FE69ADE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3:J5" firstHeaderRow="1" firstDataRow="1" firstDataCol="1"/>
  <pivotFields count="32">
    <pivotField showAll="0"/>
    <pivotField axis="axisRow"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numFmtId="9"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numFmtId="167" showAll="0"/>
    <pivotField numFmtId="167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376BD-243B-41B8-9EC1-B9BC205B8579}" name="Tableau croisé dynamique2" cacheId="11" applyNumberFormats="0" applyBorderFormats="0" applyFontFormats="0" applyPatternFormats="0" applyAlignmentFormats="0" applyWidthHeightFormats="1" dataCaption="Valeurs" updatedVersion="8" minRefreshableVersion="5" useAutoFormatting="1" itemPrintTitles="1" createdVersion="8" indent="0" outline="1" outlineData="1" multipleFieldFilters="0" chartFormat="44" rowHeaderCaption="garantie a ren">
  <location ref="AI1:AK6" firstHeaderRow="0" firstDataRow="1" firstDataCol="1"/>
  <pivotFields count="32">
    <pivotField showAll="0"/>
    <pivotField axis="axisRow" showAll="0">
      <items count="6">
        <item h="1" x="0"/>
        <item h="1" x="1"/>
        <item h="1" x="2"/>
        <item x="3"/>
        <item h="1" sd="0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29"/>
    <field x="1"/>
  </rowFields>
  <rowItems count="5">
    <i>
      <x/>
    </i>
    <i r="1">
      <x v="3"/>
    </i>
    <i>
      <x v="1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Nombre de gar a renouveller " fld="29" subtotal="count" baseField="0" baseItem="0"/>
    <dataField name="Somme de Montant Garantie" fld="21" baseField="0" baseItem="0"/>
  </dataFields>
  <formats count="14">
    <format dxfId="171">
      <pivotArea outline="0" collapsedLevelsAreSubtotals="1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24" type="button" dataOnly="0" labelOnly="1" outline="0"/>
    </format>
    <format dxfId="167">
      <pivotArea dataOnly="0" labelOnly="1" grandRow="1" outline="0" fieldPosition="0"/>
    </format>
    <format dxfId="16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29" type="button" dataOnly="0" labelOnly="1" outline="0" axis="axisRow" fieldPosition="0"/>
    </format>
    <format dxfId="162">
      <pivotArea dataOnly="0" labelOnly="1" fieldPosition="0">
        <references count="1">
          <reference field="29" count="2">
            <x v="0"/>
            <x v="1"/>
          </reference>
        </references>
      </pivotArea>
    </format>
    <format dxfId="161">
      <pivotArea dataOnly="0" labelOnly="1" grandRow="1" outline="0" fieldPosition="0"/>
    </format>
    <format dxfId="160">
      <pivotArea dataOnly="0" labelOnly="1" fieldPosition="0">
        <references count="2">
          <reference field="1" count="0"/>
          <reference field="29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0"/>
          <reference field="29" count="1" selected="0">
            <x v="1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5">
    <chartFormat chart="14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dateBetween" evalOrder="-1" id="6" name="Date accord">
      <autoFilter ref="A1">
        <filterColumn colId="0">
          <customFilters and="1">
            <customFilter operator="greaterThanOrEqual" val="44927"/>
            <customFilter operator="lessThanOrEqual" val="450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DE16F-F854-414F-AC46-722D596E5314}" name="Tableau croisé dynamique7" cacheId="1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8" rowHeaderCaption="comission payée">
  <location ref="Z3:AA6" firstHeaderRow="1" firstDataRow="1" firstDataCol="1"/>
  <pivotFields count="32">
    <pivotField showAll="0"/>
    <pivotField showAll="0">
      <items count="6">
        <item h="1" x="0"/>
        <item h="1" x="1"/>
        <item h="1"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1"/>
        <item x="0"/>
        <item h="1" x="2"/>
        <item t="default"/>
      </items>
    </pivotField>
    <pivotField showAll="0"/>
    <pivotField showAll="0"/>
    <pivotField showAll="0"/>
    <pivotField showAll="0"/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Nombre de Commission Payée" fld="27" subtotal="count" baseField="0" baseItem="0"/>
  </dataFields>
  <formats count="11">
    <format dxfId="182">
      <pivotArea type="all" dataOnly="0" outline="0" fieldPosition="0"/>
    </format>
    <format dxfId="181">
      <pivotArea outline="0" collapsedLevelsAreSubtotals="1" fieldPosition="0"/>
    </format>
    <format dxfId="180">
      <pivotArea field="7" type="button" dataOnly="0" labelOnly="1" outline="0"/>
    </format>
    <format dxfId="179">
      <pivotArea dataOnly="0" labelOnly="1" grandRow="1" outline="0" fieldPosition="0"/>
    </format>
    <format dxfId="178">
      <pivotArea dataOnly="0" labelOnly="1" outline="0" axis="axisValues" fieldPosition="0"/>
    </format>
    <format dxfId="177">
      <pivotArea type="all" dataOnly="0" outline="0" fieldPosition="0"/>
    </format>
    <format dxfId="176">
      <pivotArea outline="0" collapsedLevelsAreSubtotals="1" fieldPosition="0"/>
    </format>
    <format dxfId="175">
      <pivotArea field="27" type="button" dataOnly="0" labelOnly="1" outline="0" axis="axisRow" fieldPosition="0"/>
    </format>
    <format dxfId="174">
      <pivotArea dataOnly="0" labelOnly="1" fieldPosition="0">
        <references count="1">
          <reference field="27" count="0"/>
        </references>
      </pivotArea>
    </format>
    <format dxfId="173">
      <pivotArea dataOnly="0" labelOnly="1" grandRow="1" outline="0" fieldPosition="0"/>
    </format>
    <format dxfId="172">
      <pivotArea dataOnly="0" labelOnly="1" outline="0" axis="axisValues" fieldPosition="0"/>
    </format>
  </formats>
  <chartFormats count="7">
    <chartFormat chart="1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5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6" format="16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3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2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37" format="2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F0BDC7-56F3-4265-A2F1-C5D1068C43E8}" name="Tableau croisé dynamique10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N5:AO6" firstHeaderRow="0" firstDataRow="1" firstDataCol="0" rowPageCount="2" colPageCount="1"/>
  <pivotFields count="32">
    <pivotField axis="axisPage" showAll="0" defaultSubtotal="0">
      <items count="398">
        <item x="139"/>
        <item x="175"/>
        <item x="46"/>
        <item x="52"/>
        <item x="6"/>
        <item x="23"/>
        <item x="201"/>
        <item x="306"/>
        <item x="375"/>
        <item x="171"/>
        <item x="8"/>
        <item x="119"/>
        <item x="20"/>
        <item x="387"/>
        <item x="244"/>
        <item x="319"/>
        <item x="251"/>
        <item x="103"/>
        <item x="131"/>
        <item x="3"/>
        <item x="283"/>
        <item x="67"/>
        <item x="129"/>
        <item x="284"/>
        <item x="366"/>
        <item x="133"/>
        <item x="205"/>
        <item x="170"/>
        <item x="324"/>
        <item x="53"/>
        <item x="41"/>
        <item x="280"/>
        <item x="37"/>
        <item x="266"/>
        <item x="141"/>
        <item x="61"/>
        <item x="19"/>
        <item x="58"/>
        <item x="72"/>
        <item x="214"/>
        <item x="247"/>
        <item x="358"/>
        <item x="9"/>
        <item x="91"/>
        <item x="346"/>
        <item x="337"/>
        <item x="203"/>
        <item x="144"/>
        <item x="148"/>
        <item x="326"/>
        <item x="50"/>
        <item x="10"/>
        <item x="365"/>
        <item x="298"/>
        <item x="371"/>
        <item x="261"/>
        <item x="127"/>
        <item x="177"/>
        <item x="245"/>
        <item x="276"/>
        <item x="190"/>
        <item x="86"/>
        <item x="14"/>
        <item x="392"/>
        <item x="235"/>
        <item x="69"/>
        <item x="162"/>
        <item x="257"/>
        <item x="191"/>
        <item x="151"/>
        <item x="210"/>
        <item x="246"/>
        <item x="154"/>
        <item x="40"/>
        <item x="227"/>
        <item x="314"/>
        <item x="300"/>
        <item x="282"/>
        <item x="120"/>
        <item x="292"/>
        <item x="42"/>
        <item x="97"/>
        <item x="363"/>
        <item x="213"/>
        <item x="364"/>
        <item x="360"/>
        <item x="186"/>
        <item x="48"/>
        <item x="322"/>
        <item x="164"/>
        <item x="142"/>
        <item x="356"/>
        <item x="285"/>
        <item x="24"/>
        <item x="216"/>
        <item x="135"/>
        <item x="318"/>
        <item x="269"/>
        <item x="7"/>
        <item x="206"/>
        <item x="159"/>
        <item x="132"/>
        <item x="104"/>
        <item x="59"/>
        <item x="394"/>
        <item x="125"/>
        <item x="294"/>
        <item x="105"/>
        <item x="124"/>
        <item x="89"/>
        <item x="25"/>
        <item x="95"/>
        <item x="54"/>
        <item x="243"/>
        <item x="74"/>
        <item x="178"/>
        <item x="297"/>
        <item x="188"/>
        <item x="238"/>
        <item x="39"/>
        <item x="379"/>
        <item x="252"/>
        <item x="268"/>
        <item x="33"/>
        <item x="81"/>
        <item x="340"/>
        <item x="26"/>
        <item x="84"/>
        <item x="248"/>
        <item x="295"/>
        <item x="4"/>
        <item x="128"/>
        <item x="163"/>
        <item x="343"/>
        <item x="344"/>
        <item x="395"/>
        <item x="225"/>
        <item x="313"/>
        <item x="389"/>
        <item x="100"/>
        <item x="158"/>
        <item x="27"/>
        <item x="242"/>
        <item x="93"/>
        <item x="13"/>
        <item x="372"/>
        <item x="288"/>
        <item x="32"/>
        <item x="334"/>
        <item x="325"/>
        <item x="263"/>
        <item x="228"/>
        <item x="304"/>
        <item x="209"/>
        <item x="289"/>
        <item x="88"/>
        <item x="281"/>
        <item x="179"/>
        <item x="92"/>
        <item x="36"/>
        <item x="117"/>
        <item x="161"/>
        <item x="368"/>
        <item x="76"/>
        <item x="138"/>
        <item x="373"/>
        <item x="28"/>
        <item x="114"/>
        <item x="111"/>
        <item x="359"/>
        <item x="396"/>
        <item x="249"/>
        <item x="192"/>
        <item x="107"/>
        <item x="308"/>
        <item x="332"/>
        <item x="169"/>
        <item x="168"/>
        <item x="83"/>
        <item x="199"/>
        <item x="381"/>
        <item x="165"/>
        <item x="374"/>
        <item x="229"/>
        <item x="31"/>
        <item x="362"/>
        <item x="270"/>
        <item x="336"/>
        <item x="232"/>
        <item x="182"/>
        <item x="149"/>
        <item x="75"/>
        <item x="267"/>
        <item x="87"/>
        <item x="330"/>
        <item x="18"/>
        <item x="56"/>
        <item x="204"/>
        <item x="277"/>
        <item x="115"/>
        <item x="90"/>
        <item x="320"/>
        <item x="305"/>
        <item x="354"/>
        <item x="223"/>
        <item x="382"/>
        <item x="307"/>
        <item x="311"/>
        <item x="291"/>
        <item x="357"/>
        <item x="383"/>
        <item x="94"/>
        <item x="200"/>
        <item x="134"/>
        <item x="155"/>
        <item x="17"/>
        <item x="174"/>
        <item x="212"/>
        <item x="35"/>
        <item x="386"/>
        <item x="82"/>
        <item x="236"/>
        <item x="390"/>
        <item x="29"/>
        <item x="47"/>
        <item x="195"/>
        <item x="349"/>
        <item x="347"/>
        <item x="219"/>
        <item x="391"/>
        <item x="211"/>
        <item x="287"/>
        <item x="113"/>
        <item x="130"/>
        <item x="183"/>
        <item x="367"/>
        <item x="70"/>
        <item x="278"/>
        <item x="62"/>
        <item x="181"/>
        <item x="1"/>
        <item x="71"/>
        <item x="342"/>
        <item x="218"/>
        <item x="96"/>
        <item x="312"/>
        <item x="333"/>
        <item x="265"/>
        <item x="78"/>
        <item x="65"/>
        <item x="167"/>
        <item x="146"/>
        <item x="208"/>
        <item x="118"/>
        <item x="198"/>
        <item x="38"/>
        <item x="264"/>
        <item x="352"/>
        <item x="160"/>
        <item x="221"/>
        <item x="102"/>
        <item x="335"/>
        <item x="231"/>
        <item x="327"/>
        <item x="0"/>
        <item x="2"/>
        <item x="80"/>
        <item x="293"/>
        <item x="233"/>
        <item x="397"/>
        <item x="272"/>
        <item x="73"/>
        <item x="112"/>
        <item x="303"/>
        <item x="275"/>
        <item x="234"/>
        <item x="355"/>
        <item x="145"/>
        <item x="99"/>
        <item x="262"/>
        <item x="224"/>
        <item x="136"/>
        <item x="348"/>
        <item x="108"/>
        <item x="378"/>
        <item x="259"/>
        <item x="187"/>
        <item x="393"/>
        <item x="101"/>
        <item x="57"/>
        <item x="369"/>
        <item x="45"/>
        <item x="220"/>
        <item x="21"/>
        <item x="351"/>
        <item x="215"/>
        <item x="241"/>
        <item x="30"/>
        <item x="254"/>
        <item x="11"/>
        <item x="339"/>
        <item x="260"/>
        <item x="116"/>
        <item x="66"/>
        <item x="316"/>
        <item x="341"/>
        <item x="77"/>
        <item x="122"/>
        <item x="63"/>
        <item x="16"/>
        <item x="250"/>
        <item x="271"/>
        <item x="253"/>
        <item x="328"/>
        <item x="273"/>
        <item x="309"/>
        <item x="331"/>
        <item x="12"/>
        <item x="98"/>
        <item x="49"/>
        <item x="315"/>
        <item x="140"/>
        <item x="185"/>
        <item x="196"/>
        <item x="222"/>
        <item x="197"/>
        <item x="256"/>
        <item x="110"/>
        <item x="153"/>
        <item x="180"/>
        <item x="156"/>
        <item x="79"/>
        <item x="157"/>
        <item x="152"/>
        <item x="60"/>
        <item x="121"/>
        <item x="194"/>
        <item x="380"/>
        <item x="217"/>
        <item x="302"/>
        <item x="184"/>
        <item x="34"/>
        <item x="51"/>
        <item x="126"/>
        <item x="255"/>
        <item x="176"/>
        <item x="123"/>
        <item x="310"/>
        <item x="207"/>
        <item x="202"/>
        <item x="193"/>
        <item x="258"/>
        <item x="64"/>
        <item x="370"/>
        <item x="106"/>
        <item x="376"/>
        <item x="237"/>
        <item x="150"/>
        <item x="301"/>
        <item x="361"/>
        <item x="143"/>
        <item x="290"/>
        <item x="43"/>
        <item x="189"/>
        <item x="338"/>
        <item x="321"/>
        <item x="274"/>
        <item x="226"/>
        <item x="279"/>
        <item x="286"/>
        <item x="166"/>
        <item x="68"/>
        <item x="385"/>
        <item x="317"/>
        <item x="5"/>
        <item x="15"/>
        <item x="299"/>
        <item x="230"/>
        <item x="147"/>
        <item x="55"/>
        <item x="353"/>
        <item x="388"/>
        <item x="172"/>
        <item x="239"/>
        <item x="296"/>
        <item x="240"/>
        <item x="22"/>
        <item x="384"/>
        <item x="44"/>
        <item x="345"/>
        <item x="329"/>
        <item x="137"/>
        <item x="377"/>
        <item x="173"/>
        <item x="350"/>
        <item x="323"/>
        <item x="85"/>
        <item x="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defaultSubtotal="0">
      <items count="10">
        <item x="4"/>
        <item h="1" sd="0" x="2"/>
        <item h="1" sd="0" x="9"/>
        <item h="1" sd="0" x="7"/>
        <item h="1" sd="0" x="5"/>
        <item h="1" sd="0" x="1"/>
        <item h="1" sd="0" x="6"/>
        <item h="1" sd="0" x="3"/>
        <item h="1" sd="0" x="8"/>
        <item h="1" sd="0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9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43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6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6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items count="397">
        <item x="256"/>
        <item x="304"/>
        <item x="108"/>
        <item x="135"/>
        <item x="375"/>
        <item x="229"/>
        <item x="274"/>
        <item x="259"/>
        <item x="195"/>
        <item x="54"/>
        <item x="51"/>
        <item x="212"/>
        <item x="329"/>
        <item x="358"/>
        <item x="65"/>
        <item x="319"/>
        <item x="198"/>
        <item x="22"/>
        <item x="278"/>
        <item x="129"/>
        <item x="323"/>
        <item x="170"/>
        <item x="363"/>
        <item x="267"/>
        <item x="313"/>
        <item x="156"/>
        <item x="371"/>
        <item x="3"/>
        <item x="291"/>
        <item x="221"/>
        <item x="295"/>
        <item x="78"/>
        <item x="322"/>
        <item x="317"/>
        <item x="100"/>
        <item x="308"/>
        <item x="62"/>
        <item x="143"/>
        <item x="94"/>
        <item x="26"/>
        <item x="207"/>
        <item x="393"/>
        <item x="17"/>
        <item x="148"/>
        <item x="374"/>
        <item x="364"/>
        <item x="270"/>
        <item x="180"/>
        <item x="163"/>
        <item x="386"/>
        <item x="139"/>
        <item x="335"/>
        <item x="96"/>
        <item x="284"/>
        <item x="124"/>
        <item x="138"/>
        <item x="355"/>
        <item x="102"/>
        <item x="136"/>
        <item x="217"/>
        <item x="152"/>
        <item x="388"/>
        <item x="240"/>
        <item x="227"/>
        <item x="145"/>
        <item x="238"/>
        <item x="307"/>
        <item x="254"/>
        <item x="379"/>
        <item x="301"/>
        <item x="285"/>
        <item x="97"/>
        <item x="234"/>
        <item x="27"/>
        <item x="241"/>
        <item x="110"/>
        <item x="122"/>
        <item x="68"/>
        <item x="9"/>
        <item x="279"/>
        <item x="186"/>
        <item x="46"/>
        <item x="82"/>
        <item x="181"/>
        <item x="298"/>
        <item x="196"/>
        <item x="42"/>
        <item x="200"/>
        <item x="331"/>
        <item x="377"/>
        <item x="33"/>
        <item x="314"/>
        <item x="57"/>
        <item x="341"/>
        <item x="373"/>
        <item x="372"/>
        <item x="4"/>
        <item x="338"/>
        <item x="141"/>
        <item x="199"/>
        <item x="123"/>
        <item x="193"/>
        <item x="288"/>
        <item x="342"/>
        <item x="76"/>
        <item x="333"/>
        <item x="1"/>
        <item x="264"/>
        <item x="310"/>
        <item x="52"/>
        <item x="369"/>
        <item x="67"/>
        <item x="390"/>
        <item x="72"/>
        <item x="205"/>
        <item x="190"/>
        <item x="164"/>
        <item x="75"/>
        <item x="321"/>
        <item x="86"/>
        <item x="74"/>
        <item x="44"/>
        <item x="126"/>
        <item x="21"/>
        <item x="11"/>
        <item x="382"/>
        <item x="16"/>
        <item x="247"/>
        <item x="365"/>
        <item x="201"/>
        <item x="391"/>
        <item x="90"/>
        <item x="18"/>
        <item x="171"/>
        <item x="133"/>
        <item x="243"/>
        <item x="157"/>
        <item x="140"/>
        <item x="12"/>
        <item x="69"/>
        <item x="10"/>
        <item x="228"/>
        <item x="327"/>
        <item x="5"/>
        <item x="216"/>
        <item x="290"/>
        <item x="318"/>
        <item x="276"/>
        <item x="260"/>
        <item x="266"/>
        <item x="55"/>
        <item x="119"/>
        <item x="258"/>
        <item x="58"/>
        <item x="368"/>
        <item x="351"/>
        <item x="251"/>
        <item x="83"/>
        <item x="280"/>
        <item x="224"/>
        <item x="60"/>
        <item x="35"/>
        <item x="2"/>
        <item x="183"/>
        <item x="367"/>
        <item x="59"/>
        <item x="25"/>
        <item x="252"/>
        <item x="334"/>
        <item x="187"/>
        <item x="281"/>
        <item x="297"/>
        <item x="253"/>
        <item x="30"/>
        <item x="330"/>
        <item x="15"/>
        <item x="184"/>
        <item x="292"/>
        <item x="101"/>
        <item x="245"/>
        <item x="192"/>
        <item x="105"/>
        <item x="353"/>
        <item x="175"/>
        <item x="36"/>
        <item x="348"/>
        <item x="272"/>
        <item x="20"/>
        <item x="115"/>
        <item x="40"/>
        <item x="147"/>
        <item x="261"/>
        <item x="34"/>
        <item x="99"/>
        <item x="340"/>
        <item x="77"/>
        <item x="160"/>
        <item x="345"/>
        <item x="194"/>
        <item x="79"/>
        <item x="6"/>
        <item x="385"/>
        <item x="381"/>
        <item x="28"/>
        <item x="63"/>
        <item x="273"/>
        <item x="84"/>
        <item x="283"/>
        <item x="395"/>
        <item x="70"/>
        <item x="191"/>
        <item x="380"/>
        <item x="134"/>
        <item x="361"/>
        <item x="392"/>
        <item x="214"/>
        <item x="109"/>
        <item x="230"/>
        <item x="50"/>
        <item x="293"/>
        <item x="211"/>
        <item x="248"/>
        <item x="204"/>
        <item x="137"/>
        <item x="287"/>
        <item x="357"/>
        <item x="19"/>
        <item x="39"/>
        <item x="325"/>
        <item x="203"/>
        <item x="349"/>
        <item x="85"/>
        <item x="354"/>
        <item x="23"/>
        <item x="61"/>
        <item x="98"/>
        <item x="257"/>
        <item x="64"/>
        <item x="178"/>
        <item x="130"/>
        <item x="88"/>
        <item x="106"/>
        <item x="32"/>
        <item x="206"/>
        <item x="146"/>
        <item x="185"/>
        <item x="0"/>
        <item x="218"/>
        <item x="89"/>
        <item x="277"/>
        <item x="215"/>
        <item x="246"/>
        <item x="269"/>
        <item x="177"/>
        <item x="250"/>
        <item x="113"/>
        <item x="149"/>
        <item x="378"/>
        <item x="81"/>
        <item x="366"/>
        <item x="114"/>
        <item x="209"/>
        <item x="306"/>
        <item x="294"/>
        <item x="154"/>
        <item x="383"/>
        <item x="182"/>
        <item x="73"/>
        <item x="41"/>
        <item x="336"/>
        <item x="179"/>
        <item x="223"/>
        <item x="326"/>
        <item x="231"/>
        <item x="359"/>
        <item x="303"/>
        <item x="176"/>
        <item x="197"/>
        <item x="347"/>
        <item x="142"/>
        <item x="104"/>
        <item x="49"/>
        <item x="107"/>
        <item x="337"/>
        <item x="92"/>
        <item x="344"/>
        <item x="282"/>
        <item x="286"/>
        <item x="116"/>
        <item x="396"/>
        <item x="14"/>
        <item x="236"/>
        <item x="394"/>
        <item x="332"/>
        <item x="125"/>
        <item x="208"/>
        <item x="220"/>
        <item x="305"/>
        <item x="158"/>
        <item x="118"/>
        <item x="121"/>
        <item x="95"/>
        <item x="132"/>
        <item x="93"/>
        <item x="316"/>
        <item x="235"/>
        <item x="127"/>
        <item x="172"/>
        <item x="239"/>
        <item x="320"/>
        <item x="168"/>
        <item x="38"/>
        <item x="237"/>
        <item x="87"/>
        <item x="265"/>
        <item x="271"/>
        <item x="37"/>
        <item x="112"/>
        <item x="43"/>
        <item x="167"/>
        <item x="128"/>
        <item x="166"/>
        <item x="150"/>
        <item x="48"/>
        <item x="24"/>
        <item x="219"/>
        <item x="346"/>
        <item x="299"/>
        <item x="144"/>
        <item x="370"/>
        <item x="162"/>
        <item x="339"/>
        <item x="169"/>
        <item x="268"/>
        <item x="29"/>
        <item x="302"/>
        <item x="352"/>
        <item x="328"/>
        <item x="161"/>
        <item x="71"/>
        <item x="350"/>
        <item x="153"/>
        <item x="255"/>
        <item x="360"/>
        <item x="8"/>
        <item x="155"/>
        <item x="7"/>
        <item x="389"/>
        <item x="232"/>
        <item x="45"/>
        <item x="275"/>
        <item x="159"/>
        <item x="343"/>
        <item x="222"/>
        <item x="296"/>
        <item x="312"/>
        <item x="309"/>
        <item x="165"/>
        <item x="311"/>
        <item x="315"/>
        <item x="120"/>
        <item x="263"/>
        <item x="300"/>
        <item x="117"/>
        <item x="151"/>
        <item x="174"/>
        <item x="66"/>
        <item x="262"/>
        <item x="210"/>
        <item x="173"/>
        <item x="80"/>
        <item x="47"/>
        <item x="225"/>
        <item x="376"/>
        <item x="387"/>
        <item x="188"/>
        <item x="13"/>
        <item x="202"/>
        <item x="91"/>
        <item x="189"/>
        <item x="244"/>
        <item x="242"/>
        <item x="53"/>
        <item x="31"/>
        <item x="226"/>
        <item x="111"/>
        <item x="289"/>
        <item x="362"/>
        <item x="249"/>
        <item x="324"/>
        <item x="213"/>
        <item x="131"/>
        <item x="103"/>
        <item x="56"/>
        <item x="384"/>
        <item x="356"/>
        <item x="2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items count="397">
        <item x="256"/>
        <item x="304"/>
        <item x="108"/>
        <item x="135"/>
        <item x="375"/>
        <item x="229"/>
        <item x="274"/>
        <item x="259"/>
        <item x="195"/>
        <item x="54"/>
        <item x="51"/>
        <item x="212"/>
        <item x="329"/>
        <item x="358"/>
        <item x="65"/>
        <item x="319"/>
        <item x="198"/>
        <item x="22"/>
        <item x="278"/>
        <item x="129"/>
        <item x="323"/>
        <item x="170"/>
        <item x="363"/>
        <item x="267"/>
        <item x="313"/>
        <item x="156"/>
        <item x="371"/>
        <item x="3"/>
        <item x="291"/>
        <item x="221"/>
        <item x="295"/>
        <item x="78"/>
        <item x="322"/>
        <item x="317"/>
        <item x="100"/>
        <item x="308"/>
        <item x="62"/>
        <item x="143"/>
        <item x="94"/>
        <item x="26"/>
        <item x="207"/>
        <item x="393"/>
        <item x="17"/>
        <item x="148"/>
        <item x="374"/>
        <item x="364"/>
        <item x="270"/>
        <item x="180"/>
        <item x="163"/>
        <item x="386"/>
        <item x="139"/>
        <item x="335"/>
        <item x="96"/>
        <item x="284"/>
        <item x="124"/>
        <item x="138"/>
        <item x="355"/>
        <item x="102"/>
        <item x="136"/>
        <item x="217"/>
        <item x="152"/>
        <item x="388"/>
        <item x="240"/>
        <item x="227"/>
        <item x="145"/>
        <item x="238"/>
        <item x="307"/>
        <item x="254"/>
        <item x="379"/>
        <item x="301"/>
        <item x="285"/>
        <item x="97"/>
        <item x="234"/>
        <item x="27"/>
        <item x="241"/>
        <item x="110"/>
        <item x="122"/>
        <item x="68"/>
        <item x="9"/>
        <item x="279"/>
        <item x="186"/>
        <item x="46"/>
        <item x="82"/>
        <item x="181"/>
        <item x="298"/>
        <item x="196"/>
        <item x="42"/>
        <item x="200"/>
        <item x="331"/>
        <item x="377"/>
        <item x="33"/>
        <item x="314"/>
        <item x="57"/>
        <item x="341"/>
        <item x="373"/>
        <item x="372"/>
        <item x="4"/>
        <item x="338"/>
        <item x="141"/>
        <item x="199"/>
        <item x="123"/>
        <item x="193"/>
        <item x="288"/>
        <item x="342"/>
        <item x="76"/>
        <item x="333"/>
        <item x="1"/>
        <item x="264"/>
        <item x="310"/>
        <item x="52"/>
        <item x="369"/>
        <item x="67"/>
        <item x="390"/>
        <item x="72"/>
        <item x="205"/>
        <item x="190"/>
        <item x="164"/>
        <item x="75"/>
        <item x="321"/>
        <item x="86"/>
        <item x="74"/>
        <item x="44"/>
        <item x="126"/>
        <item x="21"/>
        <item x="11"/>
        <item x="382"/>
        <item x="16"/>
        <item x="247"/>
        <item x="365"/>
        <item x="201"/>
        <item x="391"/>
        <item x="90"/>
        <item x="18"/>
        <item x="171"/>
        <item x="133"/>
        <item x="243"/>
        <item x="157"/>
        <item x="140"/>
        <item x="12"/>
        <item x="69"/>
        <item x="10"/>
        <item x="228"/>
        <item x="327"/>
        <item x="5"/>
        <item x="216"/>
        <item x="290"/>
        <item x="318"/>
        <item x="276"/>
        <item x="260"/>
        <item x="266"/>
        <item x="55"/>
        <item x="119"/>
        <item x="258"/>
        <item x="58"/>
        <item x="368"/>
        <item x="351"/>
        <item x="251"/>
        <item x="83"/>
        <item x="280"/>
        <item x="224"/>
        <item x="60"/>
        <item x="35"/>
        <item x="2"/>
        <item x="183"/>
        <item x="367"/>
        <item x="59"/>
        <item x="25"/>
        <item x="252"/>
        <item x="334"/>
        <item x="187"/>
        <item x="281"/>
        <item x="297"/>
        <item x="253"/>
        <item x="30"/>
        <item x="330"/>
        <item x="15"/>
        <item x="184"/>
        <item x="292"/>
        <item x="101"/>
        <item x="245"/>
        <item x="192"/>
        <item x="105"/>
        <item x="353"/>
        <item x="175"/>
        <item x="36"/>
        <item x="348"/>
        <item x="272"/>
        <item x="20"/>
        <item x="115"/>
        <item x="40"/>
        <item x="147"/>
        <item x="261"/>
        <item x="34"/>
        <item x="99"/>
        <item x="340"/>
        <item x="77"/>
        <item x="160"/>
        <item x="345"/>
        <item x="194"/>
        <item x="79"/>
        <item x="6"/>
        <item x="385"/>
        <item x="381"/>
        <item x="28"/>
        <item x="63"/>
        <item x="273"/>
        <item x="84"/>
        <item x="283"/>
        <item x="395"/>
        <item x="70"/>
        <item x="191"/>
        <item x="380"/>
        <item x="134"/>
        <item x="361"/>
        <item x="392"/>
        <item x="214"/>
        <item x="109"/>
        <item x="230"/>
        <item x="50"/>
        <item x="293"/>
        <item x="211"/>
        <item x="248"/>
        <item x="204"/>
        <item x="137"/>
        <item x="287"/>
        <item x="357"/>
        <item x="19"/>
        <item x="39"/>
        <item x="325"/>
        <item x="203"/>
        <item x="349"/>
        <item x="85"/>
        <item x="354"/>
        <item x="23"/>
        <item x="61"/>
        <item x="98"/>
        <item x="257"/>
        <item x="64"/>
        <item x="178"/>
        <item x="130"/>
        <item x="88"/>
        <item x="106"/>
        <item x="32"/>
        <item x="206"/>
        <item x="146"/>
        <item x="185"/>
        <item x="0"/>
        <item x="218"/>
        <item x="89"/>
        <item x="277"/>
        <item x="215"/>
        <item x="246"/>
        <item x="269"/>
        <item x="177"/>
        <item x="250"/>
        <item x="113"/>
        <item x="149"/>
        <item x="378"/>
        <item x="81"/>
        <item x="366"/>
        <item x="114"/>
        <item x="209"/>
        <item x="306"/>
        <item x="294"/>
        <item x="154"/>
        <item x="383"/>
        <item x="182"/>
        <item x="73"/>
        <item x="41"/>
        <item x="336"/>
        <item x="179"/>
        <item x="223"/>
        <item x="326"/>
        <item x="231"/>
        <item x="359"/>
        <item x="303"/>
        <item x="176"/>
        <item x="197"/>
        <item x="347"/>
        <item x="142"/>
        <item x="104"/>
        <item x="49"/>
        <item x="107"/>
        <item x="337"/>
        <item x="92"/>
        <item x="344"/>
        <item x="282"/>
        <item x="286"/>
        <item x="116"/>
        <item x="396"/>
        <item x="14"/>
        <item x="236"/>
        <item x="394"/>
        <item x="332"/>
        <item x="125"/>
        <item x="208"/>
        <item x="220"/>
        <item x="305"/>
        <item x="158"/>
        <item x="118"/>
        <item x="121"/>
        <item x="95"/>
        <item x="132"/>
        <item x="93"/>
        <item x="316"/>
        <item x="235"/>
        <item x="127"/>
        <item x="172"/>
        <item x="239"/>
        <item x="320"/>
        <item x="168"/>
        <item x="38"/>
        <item x="237"/>
        <item x="87"/>
        <item x="265"/>
        <item x="271"/>
        <item x="37"/>
        <item x="112"/>
        <item x="43"/>
        <item x="167"/>
        <item x="128"/>
        <item x="166"/>
        <item x="150"/>
        <item x="48"/>
        <item x="24"/>
        <item x="219"/>
        <item x="346"/>
        <item x="299"/>
        <item x="144"/>
        <item x="370"/>
        <item x="162"/>
        <item x="339"/>
        <item x="169"/>
        <item x="268"/>
        <item x="29"/>
        <item x="302"/>
        <item x="352"/>
        <item x="328"/>
        <item x="161"/>
        <item x="71"/>
        <item x="350"/>
        <item x="153"/>
        <item x="255"/>
        <item x="360"/>
        <item x="8"/>
        <item x="155"/>
        <item x="7"/>
        <item x="389"/>
        <item x="232"/>
        <item x="45"/>
        <item x="275"/>
        <item x="159"/>
        <item x="343"/>
        <item x="222"/>
        <item x="296"/>
        <item x="312"/>
        <item x="309"/>
        <item x="165"/>
        <item x="311"/>
        <item x="315"/>
        <item x="120"/>
        <item x="263"/>
        <item x="300"/>
        <item x="117"/>
        <item x="151"/>
        <item x="174"/>
        <item x="66"/>
        <item x="262"/>
        <item x="210"/>
        <item x="173"/>
        <item x="80"/>
        <item x="47"/>
        <item x="225"/>
        <item x="376"/>
        <item x="387"/>
        <item x="188"/>
        <item x="13"/>
        <item x="202"/>
        <item x="91"/>
        <item x="189"/>
        <item x="244"/>
        <item x="242"/>
        <item x="53"/>
        <item x="31"/>
        <item x="226"/>
        <item x="111"/>
        <item x="289"/>
        <item x="362"/>
        <item x="249"/>
        <item x="324"/>
        <item x="213"/>
        <item x="131"/>
        <item x="103"/>
        <item x="56"/>
        <item x="384"/>
        <item x="356"/>
        <item x="23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Items count="1">
    <i/>
  </rowItems>
  <colFields count="1">
    <field x="-2"/>
  </colFields>
  <colItems count="2">
    <i>
      <x/>
    </i>
    <i i="1">
      <x v="1"/>
    </i>
  </colItems>
  <pageFields count="2">
    <pageField fld="4" hier="-1"/>
    <pageField fld="0" hier="-1"/>
  </pageFields>
  <dataFields count="2">
    <dataField name="Somme de Montant lignes" fld="30" baseField="0" baseItem="0"/>
    <dataField name="Somme de Montant garanties" fld="31" baseField="0" baseItem="0"/>
  </dataFields>
  <formats count="1">
    <format dxfId="1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llaborateurs1" xr10:uid="{F046A7E4-C6CF-43BF-AA8D-5014898ABE53}" sourceName="Collaborateurs">
  <pivotTables>
    <pivotTable tabId="30" name="Tableau croisé dynamique4"/>
    <pivotTable tabId="30" name="Tableau croisé dynamique17"/>
    <pivotTable tabId="30" name="Tableau croisé dynamique38"/>
    <pivotTable tabId="30" name="Tableau croisé dynamique2"/>
    <pivotTable tabId="30" name="Tableau croisé dynamique5"/>
    <pivotTable tabId="30" name="Tableau croisé dynamique7"/>
    <pivotTable tabId="30" name="Tableau croisé dynamique6"/>
    <pivotTable tabId="30" name="Tableau croisé dynamique11"/>
  </pivotTables>
  <data>
    <tabular pivotCacheId="1043782144">
      <items count="5">
        <i x="0"/>
        <i x="1"/>
        <i x="2"/>
        <i x="3" s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C6CAF994-90E0-451B-85A3-8E9D6C43BCF6}" sourceName="mois ">
  <data>
    <tabular pivotCacheId="747003095">
      <items count="12">
        <i x="0" s="1"/>
        <i x="1"/>
        <i x="2"/>
        <i x="3"/>
        <i x="4"/>
        <i x="5"/>
        <i x="6"/>
        <i x="7"/>
        <i x="8"/>
        <i x="9"/>
        <i x="10"/>
        <i x="1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entre_Affaires" xr10:uid="{81500393-9F47-4458-B79F-9555D054E037}" sourceName="Centre Affaires">
  <pivotTables>
    <pivotTable tabId="30" name="Tableau croisé dynamique10"/>
  </pivotTables>
  <data>
    <tabular pivotCacheId="62449525">
      <items count="10">
        <i x="4" s="1"/>
        <i x="2"/>
        <i x="9"/>
        <i x="7"/>
        <i x="5"/>
        <i x="1"/>
        <i x="6"/>
        <i x="3"/>
        <i x="8"/>
        <i x="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uméro_Tiers" xr10:uid="{D12409EB-9E8A-4DC1-841A-77E226F07F57}" sourceName="Numéro Tiers">
  <pivotTables>
    <pivotTable tabId="30" name="Tableau croisé dynamique10"/>
  </pivotTables>
  <data>
    <tabular pivotCacheId="62449525">
      <items count="398">
        <i x="201" s="1"/>
        <i x="375" s="1"/>
        <i x="171" s="1"/>
        <i x="387" s="1"/>
        <i x="61" s="1"/>
        <i x="358" s="1"/>
        <i x="9" s="1"/>
        <i x="365" s="1"/>
        <i x="190" s="1"/>
        <i x="364" s="1"/>
        <i x="356" s="1"/>
        <i x="216" s="1"/>
        <i x="248" s="1"/>
        <i x="4" s="1"/>
        <i x="389" s="1"/>
        <i x="229" s="1"/>
        <i x="232" s="1"/>
        <i x="382" s="1"/>
        <i x="155" s="1"/>
        <i x="130" s="1"/>
        <i x="78" s="1"/>
        <i x="112" s="1"/>
        <i x="369" s="1"/>
        <i x="215" s="1"/>
        <i x="241" s="1"/>
        <i x="77" s="1"/>
        <i x="250" s="1"/>
        <i x="273" s="1"/>
        <i x="156" s="1"/>
        <i x="217" s="1"/>
        <i x="317" s="1"/>
        <i x="55" s="1"/>
        <i x="353" s="1"/>
        <i x="172" s="1"/>
        <i x="384" s="1"/>
        <i x="44" s="1"/>
        <i x="137" s="1"/>
        <i x="139" s="1" nd="1"/>
        <i x="175" s="1" nd="1"/>
        <i x="46" s="1" nd="1"/>
        <i x="52" s="1" nd="1"/>
        <i x="6" s="1" nd="1"/>
        <i x="23" s="1" nd="1"/>
        <i x="306" s="1" nd="1"/>
        <i x="8" s="1" nd="1"/>
        <i x="119" s="1" nd="1"/>
        <i x="20" s="1" nd="1"/>
        <i x="244" s="1" nd="1"/>
        <i x="319" s="1" nd="1"/>
        <i x="251" s="1" nd="1"/>
        <i x="103" s="1" nd="1"/>
        <i x="131" s="1" nd="1"/>
        <i x="3" s="1" nd="1"/>
        <i x="283" s="1" nd="1"/>
        <i x="67" s="1" nd="1"/>
        <i x="129" s="1" nd="1"/>
        <i x="284" s="1" nd="1"/>
        <i x="366" s="1" nd="1"/>
        <i x="133" s="1" nd="1"/>
        <i x="205" s="1" nd="1"/>
        <i x="170" s="1" nd="1"/>
        <i x="324" s="1" nd="1"/>
        <i x="53" s="1" nd="1"/>
        <i x="41" s="1" nd="1"/>
        <i x="280" s="1" nd="1"/>
        <i x="37" s="1" nd="1"/>
        <i x="266" s="1" nd="1"/>
        <i x="141" s="1" nd="1"/>
        <i x="19" s="1" nd="1"/>
        <i x="58" s="1" nd="1"/>
        <i x="72" s="1" nd="1"/>
        <i x="214" s="1" nd="1"/>
        <i x="247" s="1" nd="1"/>
        <i x="91" s="1" nd="1"/>
        <i x="346" s="1" nd="1"/>
        <i x="337" s="1" nd="1"/>
        <i x="203" s="1" nd="1"/>
        <i x="144" s="1" nd="1"/>
        <i x="148" s="1" nd="1"/>
        <i x="326" s="1" nd="1"/>
        <i x="50" s="1" nd="1"/>
        <i x="10" s="1" nd="1"/>
        <i x="298" s="1" nd="1"/>
        <i x="371" s="1" nd="1"/>
        <i x="261" s="1" nd="1"/>
        <i x="127" s="1" nd="1"/>
        <i x="177" s="1" nd="1"/>
        <i x="245" s="1" nd="1"/>
        <i x="276" s="1" nd="1"/>
        <i x="86" s="1" nd="1"/>
        <i x="14" s="1" nd="1"/>
        <i x="392" s="1" nd="1"/>
        <i x="235" s="1" nd="1"/>
        <i x="69" s="1" nd="1"/>
        <i x="162" s="1" nd="1"/>
        <i x="257" s="1" nd="1"/>
        <i x="191" s="1" nd="1"/>
        <i x="151" s="1" nd="1"/>
        <i x="210" s="1" nd="1"/>
        <i x="246" s="1" nd="1"/>
        <i x="154" s="1" nd="1"/>
        <i x="40" s="1" nd="1"/>
        <i x="227" s="1" nd="1"/>
        <i x="314" s="1" nd="1"/>
        <i x="300" s="1" nd="1"/>
        <i x="282" s="1" nd="1"/>
        <i x="120" s="1" nd="1"/>
        <i x="292" s="1" nd="1"/>
        <i x="42" s="1" nd="1"/>
        <i x="97" s="1" nd="1"/>
        <i x="363" s="1" nd="1"/>
        <i x="213" s="1" nd="1"/>
        <i x="360" s="1" nd="1"/>
        <i x="186" s="1" nd="1"/>
        <i x="48" s="1" nd="1"/>
        <i x="322" s="1" nd="1"/>
        <i x="164" s="1" nd="1"/>
        <i x="142" s="1" nd="1"/>
        <i x="285" s="1" nd="1"/>
        <i x="24" s="1" nd="1"/>
        <i x="135" s="1" nd="1"/>
        <i x="318" s="1" nd="1"/>
        <i x="269" s="1" nd="1"/>
        <i x="7" s="1" nd="1"/>
        <i x="206" s="1" nd="1"/>
        <i x="159" s="1" nd="1"/>
        <i x="132" s="1" nd="1"/>
        <i x="104" s="1" nd="1"/>
        <i x="59" s="1" nd="1"/>
        <i x="394" s="1" nd="1"/>
        <i x="125" s="1" nd="1"/>
        <i x="294" s="1" nd="1"/>
        <i x="105" s="1" nd="1"/>
        <i x="124" s="1" nd="1"/>
        <i x="89" s="1" nd="1"/>
        <i x="25" s="1" nd="1"/>
        <i x="95" s="1" nd="1"/>
        <i x="54" s="1" nd="1"/>
        <i x="243" s="1" nd="1"/>
        <i x="74" s="1" nd="1"/>
        <i x="178" s="1" nd="1"/>
        <i x="297" s="1" nd="1"/>
        <i x="188" s="1" nd="1"/>
        <i x="238" s="1" nd="1"/>
        <i x="39" s="1" nd="1"/>
        <i x="379" s="1" nd="1"/>
        <i x="252" s="1" nd="1"/>
        <i x="268" s="1" nd="1"/>
        <i x="33" s="1" nd="1"/>
        <i x="81" s="1" nd="1"/>
        <i x="340" s="1" nd="1"/>
        <i x="26" s="1" nd="1"/>
        <i x="84" s="1" nd="1"/>
        <i x="295" s="1" nd="1"/>
        <i x="128" s="1" nd="1"/>
        <i x="163" s="1" nd="1"/>
        <i x="343" s="1" nd="1"/>
        <i x="344" s="1" nd="1"/>
        <i x="395" s="1" nd="1"/>
        <i x="225" s="1" nd="1"/>
        <i x="313" s="1" nd="1"/>
        <i x="100" s="1" nd="1"/>
        <i x="158" s="1" nd="1"/>
        <i x="27" s="1" nd="1"/>
        <i x="242" s="1" nd="1"/>
        <i x="93" s="1" nd="1"/>
        <i x="13" s="1" nd="1"/>
        <i x="372" s="1" nd="1"/>
        <i x="288" s="1" nd="1"/>
        <i x="32" s="1" nd="1"/>
        <i x="334" s="1" nd="1"/>
        <i x="325" s="1" nd="1"/>
        <i x="263" s="1" nd="1"/>
        <i x="228" s="1" nd="1"/>
        <i x="304" s="1" nd="1"/>
        <i x="209" s="1" nd="1"/>
        <i x="289" s="1" nd="1"/>
        <i x="88" s="1" nd="1"/>
        <i x="281" s="1" nd="1"/>
        <i x="179" s="1" nd="1"/>
        <i x="92" s="1" nd="1"/>
        <i x="36" s="1" nd="1"/>
        <i x="117" s="1" nd="1"/>
        <i x="161" s="1" nd="1"/>
        <i x="368" s="1" nd="1"/>
        <i x="76" s="1" nd="1"/>
        <i x="138" s="1" nd="1"/>
        <i x="373" s="1" nd="1"/>
        <i x="28" s="1" nd="1"/>
        <i x="114" s="1" nd="1"/>
        <i x="111" s="1" nd="1"/>
        <i x="359" s="1" nd="1"/>
        <i x="396" s="1" nd="1"/>
        <i x="249" s="1" nd="1"/>
        <i x="192" s="1" nd="1"/>
        <i x="107" s="1" nd="1"/>
        <i x="308" s="1" nd="1"/>
        <i x="332" s="1" nd="1"/>
        <i x="169" s="1" nd="1"/>
        <i x="168" s="1" nd="1"/>
        <i x="83" s="1" nd="1"/>
        <i x="199" s="1" nd="1"/>
        <i x="381" s="1" nd="1"/>
        <i x="165" s="1" nd="1"/>
        <i x="374" s="1" nd="1"/>
        <i x="31" s="1" nd="1"/>
        <i x="362" s="1" nd="1"/>
        <i x="270" s="1" nd="1"/>
        <i x="336" s="1" nd="1"/>
        <i x="182" s="1" nd="1"/>
        <i x="149" s="1" nd="1"/>
        <i x="75" s="1" nd="1"/>
        <i x="267" s="1" nd="1"/>
        <i x="87" s="1" nd="1"/>
        <i x="330" s="1" nd="1"/>
        <i x="18" s="1" nd="1"/>
        <i x="56" s="1" nd="1"/>
        <i x="204" s="1" nd="1"/>
        <i x="277" s="1" nd="1"/>
        <i x="115" s="1" nd="1"/>
        <i x="90" s="1" nd="1"/>
        <i x="320" s="1" nd="1"/>
        <i x="305" s="1" nd="1"/>
        <i x="354" s="1" nd="1"/>
        <i x="223" s="1" nd="1"/>
        <i x="307" s="1" nd="1"/>
        <i x="311" s="1" nd="1"/>
        <i x="291" s="1" nd="1"/>
        <i x="357" s="1" nd="1"/>
        <i x="383" s="1" nd="1"/>
        <i x="94" s="1" nd="1"/>
        <i x="200" s="1" nd="1"/>
        <i x="134" s="1" nd="1"/>
        <i x="17" s="1" nd="1"/>
        <i x="174" s="1" nd="1"/>
        <i x="212" s="1" nd="1"/>
        <i x="35" s="1" nd="1"/>
        <i x="386" s="1" nd="1"/>
        <i x="82" s="1" nd="1"/>
        <i x="236" s="1" nd="1"/>
        <i x="390" s="1" nd="1"/>
        <i x="29" s="1" nd="1"/>
        <i x="47" s="1" nd="1"/>
        <i x="195" s="1" nd="1"/>
        <i x="349" s="1" nd="1"/>
        <i x="347" s="1" nd="1"/>
        <i x="219" s="1" nd="1"/>
        <i x="391" s="1" nd="1"/>
        <i x="211" s="1" nd="1"/>
        <i x="287" s="1" nd="1"/>
        <i x="113" s="1" nd="1"/>
        <i x="183" s="1" nd="1"/>
        <i x="367" s="1" nd="1"/>
        <i x="70" s="1" nd="1"/>
        <i x="278" s="1" nd="1"/>
        <i x="62" s="1" nd="1"/>
        <i x="181" s="1" nd="1"/>
        <i x="1" s="1" nd="1"/>
        <i x="71" s="1" nd="1"/>
        <i x="342" s="1" nd="1"/>
        <i x="218" s="1" nd="1"/>
        <i x="96" s="1" nd="1"/>
        <i x="312" s="1" nd="1"/>
        <i x="333" s="1" nd="1"/>
        <i x="265" s="1" nd="1"/>
        <i x="65" s="1" nd="1"/>
        <i x="167" s="1" nd="1"/>
        <i x="146" s="1" nd="1"/>
        <i x="208" s="1" nd="1"/>
        <i x="118" s="1" nd="1"/>
        <i x="198" s="1" nd="1"/>
        <i x="38" s="1" nd="1"/>
        <i x="264" s="1" nd="1"/>
        <i x="352" s="1" nd="1"/>
        <i x="160" s="1" nd="1"/>
        <i x="221" s="1" nd="1"/>
        <i x="102" s="1" nd="1"/>
        <i x="335" s="1" nd="1"/>
        <i x="231" s="1" nd="1"/>
        <i x="327" s="1" nd="1"/>
        <i x="0" s="1" nd="1"/>
        <i x="2" s="1" nd="1"/>
        <i x="80" s="1" nd="1"/>
        <i x="293" s="1" nd="1"/>
        <i x="233" s="1" nd="1"/>
        <i x="397" s="1" nd="1"/>
        <i x="272" s="1" nd="1"/>
        <i x="73" s="1" nd="1"/>
        <i x="303" s="1" nd="1"/>
        <i x="275" s="1" nd="1"/>
        <i x="234" s="1" nd="1"/>
        <i x="355" s="1" nd="1"/>
        <i x="145" s="1" nd="1"/>
        <i x="99" s="1" nd="1"/>
        <i x="262" s="1" nd="1"/>
        <i x="224" s="1" nd="1"/>
        <i x="136" s="1" nd="1"/>
        <i x="348" s="1" nd="1"/>
        <i x="108" s="1" nd="1"/>
        <i x="378" s="1" nd="1"/>
        <i x="259" s="1" nd="1"/>
        <i x="187" s="1" nd="1"/>
        <i x="393" s="1" nd="1"/>
        <i x="101" s="1" nd="1"/>
        <i x="57" s="1" nd="1"/>
        <i x="45" s="1" nd="1"/>
        <i x="220" s="1" nd="1"/>
        <i x="21" s="1" nd="1"/>
        <i x="351" s="1" nd="1"/>
        <i x="30" s="1" nd="1"/>
        <i x="254" s="1" nd="1"/>
        <i x="11" s="1" nd="1"/>
        <i x="339" s="1" nd="1"/>
        <i x="260" s="1" nd="1"/>
        <i x="116" s="1" nd="1"/>
        <i x="66" s="1" nd="1"/>
        <i x="316" s="1" nd="1"/>
        <i x="341" s="1" nd="1"/>
        <i x="122" s="1" nd="1"/>
        <i x="63" s="1" nd="1"/>
        <i x="16" s="1" nd="1"/>
        <i x="271" s="1" nd="1"/>
        <i x="253" s="1" nd="1"/>
        <i x="328" s="1" nd="1"/>
        <i x="309" s="1" nd="1"/>
        <i x="331" s="1" nd="1"/>
        <i x="12" s="1" nd="1"/>
        <i x="98" s="1" nd="1"/>
        <i x="49" s="1" nd="1"/>
        <i x="315" s="1" nd="1"/>
        <i x="140" s="1" nd="1"/>
        <i x="185" s="1" nd="1"/>
        <i x="196" s="1" nd="1"/>
        <i x="222" s="1" nd="1"/>
        <i x="197" s="1" nd="1"/>
        <i x="256" s="1" nd="1"/>
        <i x="110" s="1" nd="1"/>
        <i x="153" s="1" nd="1"/>
        <i x="180" s="1" nd="1"/>
        <i x="79" s="1" nd="1"/>
        <i x="157" s="1" nd="1"/>
        <i x="152" s="1" nd="1"/>
        <i x="60" s="1" nd="1"/>
        <i x="121" s="1" nd="1"/>
        <i x="194" s="1" nd="1"/>
        <i x="380" s="1" nd="1"/>
        <i x="302" s="1" nd="1"/>
        <i x="184" s="1" nd="1"/>
        <i x="34" s="1" nd="1"/>
        <i x="51" s="1" nd="1"/>
        <i x="126" s="1" nd="1"/>
        <i x="255" s="1" nd="1"/>
        <i x="176" s="1" nd="1"/>
        <i x="123" s="1" nd="1"/>
        <i x="310" s="1" nd="1"/>
        <i x="207" s="1" nd="1"/>
        <i x="202" s="1" nd="1"/>
        <i x="193" s="1" nd="1"/>
        <i x="258" s="1" nd="1"/>
        <i x="64" s="1" nd="1"/>
        <i x="370" s="1" nd="1"/>
        <i x="106" s="1" nd="1"/>
        <i x="376" s="1" nd="1"/>
        <i x="237" s="1" nd="1"/>
        <i x="150" s="1" nd="1"/>
        <i x="301" s="1" nd="1"/>
        <i x="361" s="1" nd="1"/>
        <i x="143" s="1" nd="1"/>
        <i x="290" s="1" nd="1"/>
        <i x="43" s="1" nd="1"/>
        <i x="189" s="1" nd="1"/>
        <i x="338" s="1" nd="1"/>
        <i x="321" s="1" nd="1"/>
        <i x="274" s="1" nd="1"/>
        <i x="226" s="1" nd="1"/>
        <i x="279" s="1" nd="1"/>
        <i x="286" s="1" nd="1"/>
        <i x="166" s="1" nd="1"/>
        <i x="68" s="1" nd="1"/>
        <i x="385" s="1" nd="1"/>
        <i x="5" s="1" nd="1"/>
        <i x="15" s="1" nd="1"/>
        <i x="299" s="1" nd="1"/>
        <i x="230" s="1" nd="1"/>
        <i x="147" s="1" nd="1"/>
        <i x="388" s="1" nd="1"/>
        <i x="239" s="1" nd="1"/>
        <i x="296" s="1" nd="1"/>
        <i x="240" s="1" nd="1"/>
        <i x="22" s="1" nd="1"/>
        <i x="345" s="1" nd="1"/>
        <i x="329" s="1" nd="1"/>
        <i x="377" s="1" nd="1"/>
        <i x="173" s="1" nd="1"/>
        <i x="350" s="1" nd="1"/>
        <i x="323" s="1" nd="1"/>
        <i x="85" s="1" nd="1"/>
        <i x="109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lonne1" xr10:uid="{7B62A07F-C4FE-45C6-9277-50D97E0DF28C}" sourceName="Colonne1">
  <extLst>
    <x:ext xmlns:x15="http://schemas.microsoft.com/office/spreadsheetml/2010/11/main" uri="{2F2917AC-EB37-4324-AD4E-5DD8C200BD13}">
      <x15:tableSlicerCache tableId="2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laborateurs 2" xr10:uid="{4028CC96-1A78-42A1-8B3D-7F7796072097}" cache="Segment_Collaborateurs1" caption="Collaborateurs" columnCount="4" showCaption="0" style="SlicerStyleOther2 3" rowHeight="241300"/>
  <slicer name="mois  4" xr10:uid="{2EC84075-BF9D-481C-9FBD-5D31B9C47524}" cache="Segment_mois" caption="mois " columnCount="2" showCaption="0" style="SlicerStyleOther2 3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onne1" xr10:uid="{A3184EDD-FB95-4231-B017-BFAEBFA0ED72}" cache="Segment_Colonne1" caption="Colonne1" columnCount="3" showCaption="0" style="SlicerStyleOther2 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laborateurs 4" xr10:uid="{7767C1F8-2E14-416B-96D3-2CE3A076F663}" cache="Segment_Collaborateurs1" caption="Collaborateurs" columnCount="4" showCaption="0" style="SlicerStyleOther2 3" rowHeight="241300"/>
  <slicer name="mois  5" xr10:uid="{1644CC96-0BD4-44BB-B79C-2C1418B47155}" cache="Segment_mois" caption="mois " columnCount="2" showCaption="0" style="SlicerStyleOther2 3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onne1 1" xr10:uid="{7255A78C-9C5C-4250-8913-BCF0750B9D45}" cache="Segment_Colonne1" caption="Colonne1" columnCount="3" showCaption="0" style="SlicerStyleOther2 2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  3" xr10:uid="{600F3B1C-BE3B-42A7-99A8-CCDB8681B564}" cache="Segment_mois" caption="mois " columnCount="2" showCaption="0" style="SlicerStyleOther2 3" rowHeight="241300"/>
  <slicer name="Centre Affaires" xr10:uid="{D0A5ED9F-AEF2-445D-B56A-3E2B30867EF9}" cache="Segment_Centre_Affaires" caption="Centre Affaires" showCaption="0" style="SlicerStyleOther2 2 3" rowHeight="241300"/>
  <slicer name="Numéro Tiers" xr10:uid="{38905A45-07BC-423F-AC25-6F7451CB0AD7}" cache="Segment_Numéro_Tiers" caption="Numéro Tiers" showCaption="0" style="SlicerStyleOther2 2 3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onne1 2" xr10:uid="{CD33BA57-8400-499A-87BC-605C6201E1E7}" cache="Segment_Colonne1" caption="Colonne1" columnCount="3" showCaption="0" style="SlicerStyleOther2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46DAFC-34BF-46FF-9F5F-88B9E8B87164}" name="Tableau1" displayName="Tableau1" ref="A2:AF400" totalsRowShown="0" headerRowDxfId="250" headerRowBorderDxfId="249" tableBorderDxfId="248">
  <tableColumns count="32">
    <tableColumn id="1" xr3:uid="{57FD5000-5DDD-4F75-810F-4D541A5BFFBB}" name="Numéro Tiers" dataDxfId="247" totalsRowDxfId="246"/>
    <tableColumn id="2" xr3:uid="{2C39080C-F782-405D-91A6-28397A18ECC9}" name="Collaborateurs" dataDxfId="245" totalsRowDxfId="244"/>
    <tableColumn id="3" xr3:uid="{9D490120-C166-4812-89B4-9C63F0A1DC21}" name="Compte BC" dataDxfId="243" totalsRowDxfId="242"/>
    <tableColumn id="4" xr3:uid="{BDD961C7-99A6-46D4-9613-FFA3754887D2}" name="Nom Affaire" dataDxfId="241" totalsRowDxfId="240"/>
    <tableColumn id="5" xr3:uid="{1F4B208C-E401-4682-AF34-7021DC8798D0}" name="Centre Affaires" dataDxfId="239" totalsRowDxfId="238"/>
    <tableColumn id="6" xr3:uid="{18D163C7-6534-4D56-84C1-04B1E7FA1C11}" name="Numéro Crédit Bancaire" dataDxfId="237" totalsRowDxfId="236"/>
    <tableColumn id="7" xr3:uid="{3647CA68-A555-4DFA-BBCC-067F07B1DA37}" name="REN/MEP" dataDxfId="235" totalsRowDxfId="234"/>
    <tableColumn id="8" xr3:uid="{55A963A3-CDB8-41FE-BE78-4F65E2C00FCD}" name="Statut Acte Physique" dataDxfId="233" totalsRowDxfId="232"/>
    <tableColumn id="9" xr3:uid="{5E0E6064-246A-46E8-8CAD-049C30000104}" name="Quotité" dataDxfId="231" totalsRowDxfId="230" dataCellStyle="Pourcentage" totalsRowCellStyle="Pourcentage"/>
    <tableColumn id="10" xr3:uid="{E0EF3343-127E-4F26-9B96-7735BAEDCE82}" name="Date accord" dataDxfId="229" totalsRowDxfId="228" dataCellStyle="Pourcentage" totalsRowCellStyle="Pourcentage"/>
    <tableColumn id="11" xr3:uid="{8362557C-1A83-46BC-921E-C6ED446E928D}" name="Date Échéance" dataDxfId="227" totalsRowDxfId="226">
      <calculatedColumnFormula>EDATE(J3,18)</calculatedColumnFormula>
    </tableColumn>
    <tableColumn id="12" xr3:uid="{AB7534D3-4E3C-465C-852E-629444D70B8C}" name="Statut Commission" dataDxfId="225" totalsRowDxfId="224"/>
    <tableColumn id="13" xr3:uid="{E80A1A5F-F661-45E1-A84D-409B3BE0CC78}" name="Date Règlement Commission" dataDxfId="223" totalsRowDxfId="222"/>
    <tableColumn id="14" xr3:uid="{B0C6685C-8FBE-451E-BF41-C8E410E209F8}" name="Date Envoi CCG 2024" dataDxfId="221" totalsRowDxfId="220"/>
    <tableColumn id="15" xr3:uid="{FAE0207B-CB7F-46CC-9EB5-40C0F7CE049F}" name="Responsable CAF CCG 2024" dataDxfId="219" totalsRowDxfId="218"/>
    <tableColumn id="16" xr3:uid="{C5C30B50-ACCD-4436-8F0F-73BBAB042ACF}" name="Dernier Propriétaire 2024" dataDxfId="217" totalsRowDxfId="216"/>
    <tableColumn id="17" xr3:uid="{87364739-7090-4164-8853-9D77E1FCD48C}" name="Date Proprio 2024" dataDxfId="215" totalsRowDxfId="214"/>
    <tableColumn id="18" xr3:uid="{878F2034-536F-49E1-BC36-C3A4504D8051}" name="Statut" dataDxfId="213" totalsRowDxfId="212"/>
    <tableColumn id="19" xr3:uid="{7393843B-8C12-4658-A364-7C3683E2D47E}" name="Identifiant Crédit 2024" dataDxfId="211" totalsRowDxfId="210"/>
    <tableColumn id="20" xr3:uid="{02A052E0-FACD-47AB-A1EA-459DDD24CEE4}" name="Num Acte 2024" dataDxfId="209" totalsRowDxfId="208"/>
    <tableColumn id="21" xr3:uid="{6FD322C5-9A79-483B-8670-5C38722C7F47}" name="Montant Ligne" dataDxfId="207" totalsRowDxfId="206" dataCellStyle="Milliers" totalsRowCellStyle="Milliers"/>
    <tableColumn id="22" xr3:uid="{667E2391-7A93-4C2E-9881-D332D0561149}" name="Montant Garantie" dataDxfId="205" totalsRowDxfId="204"/>
    <tableColumn id="23" xr3:uid="{2A14783C-A222-44B3-9403-1A4672A96BEE}" name="Montant Commission 2024" dataDxfId="203" totalsRowDxfId="202"/>
    <tableColumn id="24" xr3:uid="{9BF53DF1-9224-4498-92C7-B87BFC58112A}" name="Date Paiement Commission 2024" dataDxfId="201" totalsRowDxfId="200"/>
    <tableColumn id="25" xr3:uid="{416ED9CB-4E7D-49A5-8F16-0DF87C0FAA89}" name="Statut acte physique 2" dataDxfId="199" totalsRowDxfId="198"/>
    <tableColumn id="26" xr3:uid="{2CE99B4B-CEF8-4B0D-B5AC-EBBBAF681EFB}" name="Échéance Garantie" dataDxfId="197" totalsRowDxfId="196"/>
    <tableColumn id="27" xr3:uid="{72333075-D3DB-49CD-A7DB-C2BF331F4251}" name="Statut Garantie" dataDxfId="195" totalsRowDxfId="194"/>
    <tableColumn id="28" xr3:uid="{60A7C86E-2218-4D23-BFA0-F320209A2D1E}" name="Commission Payée" dataDxfId="193" totalsRowDxfId="192"/>
    <tableColumn id="29" xr3:uid="{67B9CF2A-1719-4F9D-AF27-D718A84FA2D1}" name="Acte Valide+comission payé+annexe" dataDxfId="191" totalsRowDxfId="190"/>
    <tableColumn id="30" xr3:uid="{A087C1A8-E3A0-4DE4-B626-2A6E8C07294D}" name="Flag a renouveller " dataDxfId="189" totalsRowDxfId="188"/>
    <tableColumn id="31" xr3:uid="{31983836-CF70-4A1F-A89E-45AACCE4CEAE}" name="Montant lignes" dataDxfId="187" totalsRowDxfId="186" dataCellStyle="Milliers" totalsRowCellStyle="Milliers"/>
    <tableColumn id="32" xr3:uid="{4C11ED59-B594-47A8-8A1B-C290CEE8B699}" name="Montant garanties" dataDxfId="185" totalsRowDxfId="1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59B796-2A72-4D68-897D-882D2C8CFE2F}" name="Tableau2" displayName="Tableau2" ref="AX3:AX8" totalsRowShown="0">
  <autoFilter ref="AX3:AX8" xr:uid="{9859B796-2A72-4D68-897D-882D2C8CFE2F}">
    <filterColumn colId="0">
      <filters>
        <filter val="S25"/>
      </filters>
    </filterColumn>
  </autoFilter>
  <tableColumns count="1">
    <tableColumn id="1" xr3:uid="{F003BE5C-8EB6-4586-B18E-DB0A3F663878}" name="Colonne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3F867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AAACAF-D308-4D96-A677-0F43BCB3733E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UqtkD5MdhRQu4lo7xZ__z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2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microsoft.com/office/2007/relationships/slicer" Target="../slicers/slicer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3FE30-3352-40BA-86A8-EA50FFA860FB}">
  <sheetPr codeName="Feuil1"/>
  <dimension ref="A1:AF34"/>
  <sheetViews>
    <sheetView showGridLines="0" tabSelected="1" zoomScale="50" zoomScaleNormal="50" zoomScalePageLayoutView="114" workbookViewId="0">
      <selection activeCell="Z9" sqref="Z9"/>
    </sheetView>
  </sheetViews>
  <sheetFormatPr baseColWidth="10" defaultColWidth="8.81640625" defaultRowHeight="14.5" x14ac:dyDescent="0.35"/>
  <cols>
    <col min="2" max="2" width="15.36328125" customWidth="1"/>
    <col min="3" max="3" width="13.6328125" customWidth="1"/>
    <col min="4" max="5" width="9.1796875" customWidth="1"/>
    <col min="6" max="6" width="9.54296875" bestFit="1" customWidth="1"/>
    <col min="7" max="8" width="4.6328125" customWidth="1"/>
    <col min="9" max="9" width="13.6328125" customWidth="1"/>
    <col min="10" max="10" width="9.1796875" bestFit="1" customWidth="1"/>
    <col min="11" max="11" width="9" bestFit="1" customWidth="1"/>
    <col min="12" max="12" width="9.54296875" bestFit="1" customWidth="1"/>
    <col min="13" max="14" width="4.6328125" customWidth="1"/>
    <col min="15" max="15" width="13.6328125" customWidth="1"/>
    <col min="16" max="16" width="7.36328125" customWidth="1"/>
    <col min="17" max="17" width="3.453125" customWidth="1"/>
    <col min="18" max="18" width="3.08984375" customWidth="1"/>
    <col min="19" max="20" width="4.6328125" customWidth="1"/>
    <col min="21" max="21" width="2.81640625" customWidth="1"/>
    <col min="22" max="23" width="9.1796875" bestFit="1" customWidth="1"/>
    <col min="24" max="24" width="9.54296875" bestFit="1" customWidth="1"/>
  </cols>
  <sheetData>
    <row r="1" spans="1:26" x14ac:dyDescent="0.35">
      <c r="A1" t="s">
        <v>1276</v>
      </c>
    </row>
    <row r="8" spans="1:26" ht="31" x14ac:dyDescent="0.7">
      <c r="D8" s="10"/>
    </row>
    <row r="11" spans="1:26" ht="35" customHeight="1" x14ac:dyDescent="0.35"/>
    <row r="14" spans="1:26" x14ac:dyDescent="0.35">
      <c r="C14" s="1"/>
      <c r="D14" s="4"/>
      <c r="E14" s="4"/>
      <c r="F14" s="2"/>
      <c r="I14" s="1"/>
      <c r="J14" s="4"/>
      <c r="K14" s="4"/>
      <c r="L14" s="2"/>
      <c r="O14" s="1"/>
      <c r="P14" s="4"/>
      <c r="Q14" s="4"/>
      <c r="R14" s="2"/>
      <c r="U14" s="1"/>
      <c r="V14" s="4"/>
      <c r="W14" s="4"/>
      <c r="X14" s="2"/>
    </row>
    <row r="15" spans="1:26" x14ac:dyDescent="0.35">
      <c r="E15" s="3"/>
      <c r="F15" s="6"/>
      <c r="J15" s="3"/>
      <c r="K15" s="3"/>
      <c r="L15" s="6"/>
      <c r="P15" s="3"/>
      <c r="Q15" s="3"/>
      <c r="R15" s="6"/>
      <c r="V15" s="3"/>
      <c r="W15" s="3"/>
      <c r="X15" s="6"/>
    </row>
    <row r="16" spans="1:26" x14ac:dyDescent="0.35">
      <c r="D16" s="3"/>
      <c r="E16" s="3"/>
      <c r="F16" s="6"/>
      <c r="J16" s="3"/>
      <c r="K16" s="3"/>
      <c r="L16" s="6"/>
      <c r="P16" s="3"/>
      <c r="Q16" s="3"/>
      <c r="R16" s="6"/>
      <c r="V16" s="3"/>
      <c r="W16" s="3"/>
      <c r="X16" s="6"/>
      <c r="Z16" s="5"/>
    </row>
    <row r="17" spans="4:32" x14ac:dyDescent="0.35">
      <c r="D17" s="3"/>
      <c r="E17" s="3"/>
      <c r="F17" s="6"/>
      <c r="J17" s="3"/>
      <c r="K17" s="3"/>
      <c r="L17" s="6"/>
      <c r="P17" s="3"/>
      <c r="Q17" s="3"/>
      <c r="R17" s="6"/>
      <c r="V17" s="3"/>
      <c r="W17" s="3"/>
      <c r="X17" s="6"/>
    </row>
    <row r="18" spans="4:32" x14ac:dyDescent="0.35">
      <c r="D18" s="3"/>
      <c r="E18" s="3"/>
      <c r="F18" s="6"/>
      <c r="J18" s="3"/>
      <c r="K18" s="3"/>
      <c r="L18" s="6"/>
      <c r="P18" s="3"/>
      <c r="Q18" s="3"/>
      <c r="R18" s="6"/>
      <c r="V18" s="3"/>
      <c r="W18" s="3"/>
      <c r="X18" s="6"/>
    </row>
    <row r="19" spans="4:32" x14ac:dyDescent="0.35">
      <c r="D19" s="3"/>
      <c r="E19" s="3"/>
      <c r="F19" s="6"/>
      <c r="J19" s="3"/>
      <c r="K19" s="3"/>
      <c r="L19" s="6"/>
      <c r="P19" s="3"/>
      <c r="Q19" s="3"/>
      <c r="R19" s="6"/>
      <c r="V19" s="3"/>
      <c r="W19" s="3"/>
      <c r="X19" s="6"/>
    </row>
    <row r="20" spans="4:32" x14ac:dyDescent="0.35">
      <c r="D20" s="3"/>
      <c r="E20" s="3"/>
      <c r="F20" s="6"/>
      <c r="J20" s="3"/>
      <c r="K20" s="3"/>
      <c r="L20" s="6"/>
      <c r="P20" s="3"/>
      <c r="Q20" s="3"/>
      <c r="R20" s="6"/>
      <c r="V20" s="3"/>
      <c r="W20" s="3"/>
      <c r="X20" s="6"/>
    </row>
    <row r="21" spans="4:32" x14ac:dyDescent="0.35">
      <c r="D21" s="3"/>
      <c r="E21" s="3"/>
      <c r="F21" s="6"/>
      <c r="J21" s="3"/>
      <c r="K21" s="3"/>
      <c r="L21" s="6"/>
      <c r="P21" s="3"/>
      <c r="Q21" s="3"/>
      <c r="R21" s="6"/>
      <c r="V21" s="3"/>
      <c r="W21" s="3"/>
      <c r="X21" s="6"/>
    </row>
    <row r="22" spans="4:32" x14ac:dyDescent="0.35">
      <c r="D22" s="3"/>
      <c r="E22" s="3"/>
      <c r="F22" s="1"/>
      <c r="J22" s="3"/>
      <c r="K22" s="3"/>
      <c r="L22" s="6"/>
      <c r="P22" s="3"/>
      <c r="Q22" s="3"/>
      <c r="R22" s="6"/>
      <c r="V22" s="3"/>
      <c r="W22" s="3"/>
      <c r="X22" s="6"/>
    </row>
    <row r="23" spans="4:32" x14ac:dyDescent="0.35">
      <c r="D23" s="3"/>
      <c r="E23" s="3"/>
      <c r="F23" s="6"/>
      <c r="J23" s="3"/>
      <c r="K23" s="3"/>
      <c r="L23" s="6"/>
      <c r="P23" s="3"/>
      <c r="Q23" s="3"/>
      <c r="R23" s="6"/>
      <c r="V23" s="3"/>
      <c r="W23" s="3"/>
      <c r="X23" s="6"/>
    </row>
    <row r="24" spans="4:32" x14ac:dyDescent="0.35">
      <c r="D24" s="3"/>
      <c r="E24" s="3"/>
      <c r="F24" s="7"/>
      <c r="J24" s="3"/>
      <c r="K24" s="3"/>
      <c r="L24" s="6"/>
      <c r="P24" s="3"/>
      <c r="Q24" s="3"/>
      <c r="R24" s="6"/>
      <c r="V24" s="3"/>
      <c r="W24" s="3"/>
      <c r="X24" s="6"/>
    </row>
    <row r="25" spans="4:32" x14ac:dyDescent="0.35">
      <c r="E25" s="7"/>
      <c r="F25" s="8"/>
      <c r="G25" s="1"/>
      <c r="H25" s="1"/>
      <c r="I25" s="1"/>
      <c r="J25" s="7"/>
      <c r="K25" s="7"/>
      <c r="L25" s="8"/>
      <c r="M25" s="1"/>
      <c r="N25" s="1"/>
      <c r="O25" s="1"/>
      <c r="P25" s="7"/>
      <c r="Q25" s="7"/>
      <c r="R25" s="8"/>
      <c r="S25" s="1"/>
      <c r="T25" s="1"/>
      <c r="U25" s="1"/>
      <c r="V25" s="7"/>
      <c r="W25" s="7"/>
      <c r="X25" s="8"/>
    </row>
    <row r="28" spans="4:32" x14ac:dyDescent="0.35"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</row>
    <row r="29" spans="4:32" x14ac:dyDescent="0.35"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</row>
    <row r="30" spans="4:32" x14ac:dyDescent="0.35"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</row>
    <row r="31" spans="4:32" x14ac:dyDescent="0.35"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</row>
    <row r="32" spans="4:32" x14ac:dyDescent="0.35"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</row>
    <row r="33" spans="4:32" x14ac:dyDescent="0.35"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</row>
    <row r="34" spans="4:32" x14ac:dyDescent="0.35"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7095-7CB6-497C-AEC2-E86D5F96FA3B}">
  <sheetPr codeName="Feuil2"/>
  <dimension ref="C8:AF34"/>
  <sheetViews>
    <sheetView showGridLines="0" zoomScale="72" zoomScaleNormal="72" workbookViewId="0"/>
  </sheetViews>
  <sheetFormatPr baseColWidth="10" defaultColWidth="8.81640625" defaultRowHeight="14.5" x14ac:dyDescent="0.35"/>
  <cols>
    <col min="2" max="2" width="15.36328125" customWidth="1"/>
    <col min="3" max="3" width="13.6328125" customWidth="1"/>
    <col min="4" max="5" width="9.1796875" customWidth="1"/>
    <col min="6" max="6" width="9.54296875" bestFit="1" customWidth="1"/>
    <col min="7" max="7" width="4.6328125" customWidth="1"/>
    <col min="8" max="8" width="10.36328125" customWidth="1"/>
    <col min="9" max="9" width="13.6328125" customWidth="1"/>
    <col min="10" max="10" width="9.1796875" bestFit="1" customWidth="1"/>
    <col min="11" max="11" width="9" bestFit="1" customWidth="1"/>
    <col min="12" max="12" width="9.54296875" bestFit="1" customWidth="1"/>
    <col min="13" max="14" width="4.6328125" customWidth="1"/>
    <col min="15" max="15" width="13.6328125" customWidth="1"/>
    <col min="16" max="16" width="7.36328125" customWidth="1"/>
    <col min="17" max="17" width="3.453125" customWidth="1"/>
    <col min="18" max="18" width="3.08984375" customWidth="1"/>
    <col min="19" max="20" width="4.6328125" customWidth="1"/>
    <col min="21" max="21" width="2.81640625" customWidth="1"/>
    <col min="22" max="23" width="9.1796875" bestFit="1" customWidth="1"/>
    <col min="24" max="24" width="9.54296875" bestFit="1" customWidth="1"/>
  </cols>
  <sheetData>
    <row r="8" spans="3:26" ht="31" x14ac:dyDescent="0.7">
      <c r="D8" s="10"/>
    </row>
    <row r="9" spans="3:26" ht="15.5" x14ac:dyDescent="0.35">
      <c r="V9" s="63">
        <f>GETPIVOTDATA("REN/MEP",traitement!$U$3,"REN/MEP","Renouvellement")</f>
        <v>200</v>
      </c>
      <c r="W9" s="64" t="str">
        <f>traitement!G3</f>
        <v>387,2 M DH</v>
      </c>
    </row>
    <row r="11" spans="3:26" ht="35" customHeight="1" x14ac:dyDescent="0.35"/>
    <row r="14" spans="3:26" x14ac:dyDescent="0.35">
      <c r="C14" s="1"/>
      <c r="D14" s="4"/>
      <c r="E14" s="4"/>
      <c r="F14" s="2"/>
      <c r="I14" s="1"/>
      <c r="J14" s="4"/>
      <c r="K14" s="4"/>
      <c r="L14" s="2"/>
      <c r="O14" s="1"/>
      <c r="P14" s="4"/>
      <c r="Q14" s="4"/>
      <c r="R14" s="2"/>
      <c r="U14" s="1"/>
      <c r="V14" s="4"/>
      <c r="W14" s="4"/>
      <c r="X14" s="2"/>
    </row>
    <row r="15" spans="3:26" x14ac:dyDescent="0.35">
      <c r="E15" s="3"/>
      <c r="F15" s="6"/>
      <c r="J15" s="3"/>
      <c r="K15" s="3"/>
      <c r="L15" s="6"/>
      <c r="P15" s="3"/>
      <c r="Q15" s="3"/>
      <c r="R15" s="6"/>
      <c r="V15" s="3"/>
      <c r="W15" s="3"/>
      <c r="X15" s="6"/>
    </row>
    <row r="16" spans="3:26" x14ac:dyDescent="0.35">
      <c r="D16" s="3"/>
      <c r="E16" s="3"/>
      <c r="F16" s="6"/>
      <c r="J16" s="3"/>
      <c r="K16" s="3"/>
      <c r="L16" s="6"/>
      <c r="P16" s="3"/>
      <c r="Q16" s="3"/>
      <c r="R16" s="6"/>
      <c r="V16" s="3"/>
      <c r="W16" s="3"/>
      <c r="X16" s="6"/>
      <c r="Z16" s="5"/>
    </row>
    <row r="17" spans="4:32" x14ac:dyDescent="0.35">
      <c r="D17" s="3"/>
      <c r="E17" s="3"/>
      <c r="F17" s="6"/>
      <c r="J17" s="3"/>
      <c r="K17" s="3"/>
      <c r="L17" s="6"/>
      <c r="P17" s="3"/>
      <c r="Q17" s="3"/>
      <c r="R17" s="6"/>
      <c r="V17" s="3"/>
      <c r="W17" s="3"/>
      <c r="X17" s="6"/>
    </row>
    <row r="18" spans="4:32" x14ac:dyDescent="0.35">
      <c r="D18" s="3"/>
      <c r="E18" s="3"/>
      <c r="F18" s="6"/>
      <c r="J18" s="3"/>
      <c r="K18" s="3"/>
      <c r="L18" s="6"/>
      <c r="P18" s="3"/>
      <c r="Q18" s="3"/>
      <c r="R18" s="6"/>
      <c r="V18" s="3"/>
      <c r="W18" s="3"/>
      <c r="X18" s="6"/>
    </row>
    <row r="19" spans="4:32" x14ac:dyDescent="0.35">
      <c r="D19" s="3"/>
      <c r="E19" s="3"/>
      <c r="F19" s="6"/>
      <c r="J19" s="3"/>
      <c r="K19" s="3"/>
      <c r="L19" s="6"/>
      <c r="P19" s="3"/>
      <c r="Q19" s="3"/>
      <c r="R19" s="6"/>
      <c r="V19" s="3"/>
      <c r="W19" s="3"/>
      <c r="X19" s="6"/>
    </row>
    <row r="20" spans="4:32" x14ac:dyDescent="0.35">
      <c r="D20" s="3"/>
      <c r="E20" s="3"/>
      <c r="F20" s="6"/>
      <c r="J20" s="3"/>
      <c r="K20" s="3"/>
      <c r="L20" s="6"/>
      <c r="P20" s="3"/>
      <c r="Q20" s="3"/>
      <c r="R20" s="6"/>
      <c r="V20" s="3"/>
      <c r="W20" s="3"/>
      <c r="X20" s="6"/>
    </row>
    <row r="21" spans="4:32" x14ac:dyDescent="0.35">
      <c r="D21" s="3"/>
      <c r="E21" s="3"/>
      <c r="F21" s="6"/>
      <c r="J21" s="3"/>
      <c r="K21" s="3"/>
      <c r="L21" s="6"/>
      <c r="P21" s="3"/>
      <c r="Q21" s="3"/>
      <c r="R21" s="6"/>
      <c r="V21" s="3"/>
      <c r="W21" s="3"/>
      <c r="X21" s="6"/>
    </row>
    <row r="22" spans="4:32" x14ac:dyDescent="0.35">
      <c r="D22" s="3"/>
      <c r="E22" s="3"/>
      <c r="F22" s="1"/>
      <c r="J22" s="3"/>
      <c r="K22" s="3"/>
      <c r="L22" s="6"/>
      <c r="P22" s="3"/>
      <c r="Q22" s="3"/>
      <c r="R22" s="6"/>
      <c r="V22" s="3"/>
      <c r="W22" s="3"/>
      <c r="X22" s="6"/>
    </row>
    <row r="23" spans="4:32" x14ac:dyDescent="0.35">
      <c r="D23" s="3"/>
      <c r="E23" s="3"/>
      <c r="F23" s="6"/>
      <c r="J23" s="3"/>
      <c r="K23" s="3"/>
      <c r="L23" s="6"/>
      <c r="P23" s="3"/>
      <c r="Q23" s="3"/>
      <c r="R23" s="6"/>
      <c r="V23" s="3"/>
      <c r="W23" s="3"/>
      <c r="X23" s="6"/>
    </row>
    <row r="24" spans="4:32" x14ac:dyDescent="0.35">
      <c r="D24" s="3"/>
      <c r="E24" s="3"/>
      <c r="F24" s="7"/>
      <c r="J24" s="3"/>
      <c r="K24" s="3"/>
      <c r="L24" s="6"/>
      <c r="P24" s="3"/>
      <c r="Q24" s="3"/>
      <c r="R24" s="6"/>
      <c r="V24" s="3"/>
      <c r="W24" s="3"/>
      <c r="X24" s="6"/>
    </row>
    <row r="25" spans="4:32" x14ac:dyDescent="0.35">
      <c r="E25" s="7"/>
      <c r="F25" s="8"/>
      <c r="G25" s="1"/>
      <c r="H25" s="1"/>
      <c r="I25" s="1"/>
      <c r="J25" s="7"/>
      <c r="K25" s="7"/>
      <c r="L25" s="8"/>
      <c r="M25" s="1"/>
      <c r="N25" s="1"/>
      <c r="O25" s="1"/>
      <c r="P25" s="7"/>
      <c r="Q25" s="7"/>
      <c r="R25" s="8"/>
      <c r="S25" s="1"/>
      <c r="T25" s="1"/>
      <c r="U25" s="1"/>
      <c r="V25" s="7"/>
      <c r="W25" s="7"/>
      <c r="X25" s="8"/>
    </row>
    <row r="28" spans="4:32" x14ac:dyDescent="0.35"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</row>
    <row r="29" spans="4:32" x14ac:dyDescent="0.35"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</row>
    <row r="30" spans="4:32" x14ac:dyDescent="0.35"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</row>
    <row r="31" spans="4:32" x14ac:dyDescent="0.35"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</row>
    <row r="32" spans="4:32" x14ac:dyDescent="0.35"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</row>
    <row r="33" spans="4:32" x14ac:dyDescent="0.35"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</row>
    <row r="34" spans="4:32" x14ac:dyDescent="0.35"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44B59-3C75-4057-BDF2-5D3B44D488CC}">
  <sheetPr codeName="Feuil4"/>
  <dimension ref="C14:AF34"/>
  <sheetViews>
    <sheetView showGridLines="0" zoomScale="69" zoomScaleNormal="80" zoomScaleSheetLayoutView="70" workbookViewId="0"/>
  </sheetViews>
  <sheetFormatPr baseColWidth="10" defaultColWidth="8.81640625" defaultRowHeight="14.5" x14ac:dyDescent="0.35"/>
  <cols>
    <col min="2" max="2" width="15.36328125" customWidth="1"/>
    <col min="3" max="3" width="13.6328125" customWidth="1"/>
    <col min="4" max="4" width="13.453125" bestFit="1" customWidth="1"/>
    <col min="5" max="5" width="22.7265625" bestFit="1" customWidth="1"/>
    <col min="6" max="6" width="9.54296875" bestFit="1" customWidth="1"/>
    <col min="7" max="7" width="4.6328125" customWidth="1"/>
    <col min="8" max="8" width="12.08984375" bestFit="1" customWidth="1"/>
    <col min="9" max="9" width="14.54296875" bestFit="1" customWidth="1"/>
    <col min="10" max="10" width="14.08984375" bestFit="1" customWidth="1"/>
    <col min="11" max="11" width="12.08984375" bestFit="1" customWidth="1"/>
    <col min="12" max="12" width="13.7265625" customWidth="1"/>
    <col min="13" max="14" width="23.81640625" bestFit="1" customWidth="1"/>
    <col min="15" max="15" width="14.90625" customWidth="1"/>
    <col min="16" max="16" width="11.36328125" customWidth="1"/>
    <col min="17" max="18" width="16.54296875" bestFit="1" customWidth="1"/>
    <col min="19" max="19" width="23.81640625" bestFit="1" customWidth="1"/>
    <col min="20" max="20" width="14.90625" bestFit="1" customWidth="1"/>
    <col min="21" max="21" width="25.6328125" bestFit="1" customWidth="1"/>
    <col min="22" max="408" width="23.81640625" bestFit="1" customWidth="1"/>
    <col min="409" max="409" width="11.90625" bestFit="1" customWidth="1"/>
  </cols>
  <sheetData>
    <row r="14" spans="3:24" x14ac:dyDescent="0.35">
      <c r="C14" s="1"/>
      <c r="L14" s="2"/>
      <c r="O14" s="1"/>
      <c r="U14" s="1"/>
      <c r="V14" s="4"/>
      <c r="W14" s="4"/>
      <c r="X14" s="2"/>
    </row>
    <row r="15" spans="3:24" x14ac:dyDescent="0.35">
      <c r="L15" s="6"/>
      <c r="V15" s="3"/>
      <c r="W15" s="3"/>
      <c r="X15" s="6"/>
    </row>
    <row r="16" spans="3:24" x14ac:dyDescent="0.35">
      <c r="L16" s="6"/>
      <c r="V16" s="3"/>
      <c r="W16" s="3"/>
      <c r="X16" s="6"/>
    </row>
    <row r="17" spans="4:32" x14ac:dyDescent="0.35">
      <c r="L17" s="6"/>
      <c r="V17" s="3"/>
      <c r="W17" s="3"/>
      <c r="X17" s="6"/>
    </row>
    <row r="18" spans="4:32" x14ac:dyDescent="0.35">
      <c r="L18" s="6"/>
      <c r="V18" s="3"/>
      <c r="W18" s="3"/>
      <c r="X18" s="6"/>
    </row>
    <row r="19" spans="4:32" x14ac:dyDescent="0.35">
      <c r="L19" s="6"/>
      <c r="V19" s="3"/>
      <c r="W19" s="3"/>
      <c r="X19" s="6"/>
    </row>
    <row r="20" spans="4:32" x14ac:dyDescent="0.35">
      <c r="L20" s="6"/>
      <c r="V20" s="3"/>
      <c r="W20" s="3"/>
      <c r="X20" s="6"/>
    </row>
    <row r="21" spans="4:32" x14ac:dyDescent="0.35">
      <c r="L21" s="6"/>
      <c r="V21" s="3"/>
      <c r="W21" s="3"/>
      <c r="X21" s="6"/>
    </row>
    <row r="22" spans="4:32" x14ac:dyDescent="0.35">
      <c r="L22" s="6"/>
      <c r="V22" s="3"/>
      <c r="W22" s="3"/>
      <c r="X22" s="6"/>
    </row>
    <row r="23" spans="4:32" x14ac:dyDescent="0.35">
      <c r="L23" s="6"/>
      <c r="V23" s="3"/>
      <c r="W23" s="3"/>
      <c r="X23" s="6"/>
    </row>
    <row r="24" spans="4:32" x14ac:dyDescent="0.35">
      <c r="D24" s="3"/>
      <c r="E24" s="3"/>
      <c r="F24" s="7"/>
      <c r="J24" s="3"/>
      <c r="L24" s="6"/>
      <c r="V24" s="3"/>
      <c r="W24" s="3"/>
      <c r="X24" s="6"/>
    </row>
    <row r="25" spans="4:32" x14ac:dyDescent="0.35">
      <c r="E25" s="7"/>
      <c r="F25" s="8"/>
      <c r="G25" s="1"/>
      <c r="H25" s="1"/>
      <c r="I25" s="1"/>
      <c r="J25" s="7"/>
      <c r="L25" s="8"/>
      <c r="M25" s="1"/>
      <c r="N25" s="1"/>
      <c r="O25" s="1"/>
      <c r="U25" s="1"/>
      <c r="V25" s="7"/>
      <c r="W25" s="7"/>
      <c r="X25" s="8"/>
    </row>
    <row r="26" spans="4:32" x14ac:dyDescent="0.35">
      <c r="R26" s="7"/>
      <c r="S26" s="7"/>
    </row>
    <row r="28" spans="4:32" x14ac:dyDescent="0.35">
      <c r="D28" s="9"/>
      <c r="E28" s="9"/>
      <c r="F28" s="9"/>
      <c r="G28" s="9"/>
      <c r="H28" s="9"/>
      <c r="I28" s="9"/>
      <c r="J28" s="9"/>
      <c r="L28" s="9"/>
      <c r="M28" s="9"/>
      <c r="N28" s="9"/>
      <c r="O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</row>
    <row r="29" spans="4:32" x14ac:dyDescent="0.35">
      <c r="D29" s="9"/>
      <c r="E29" s="9"/>
      <c r="F29" s="9"/>
      <c r="G29" s="9"/>
      <c r="H29" s="9"/>
      <c r="I29" s="9"/>
      <c r="J29" s="9"/>
      <c r="L29" s="9"/>
      <c r="M29" s="9"/>
      <c r="N29" s="9"/>
      <c r="O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</row>
    <row r="30" spans="4:32" x14ac:dyDescent="0.35">
      <c r="D30" s="9"/>
      <c r="E30" s="9"/>
      <c r="F30" s="9"/>
      <c r="G30" s="9"/>
      <c r="H30" s="9"/>
      <c r="I30" s="9"/>
      <c r="J30" s="9"/>
      <c r="L30" s="9"/>
      <c r="M30" s="9"/>
      <c r="N30" s="9"/>
      <c r="O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</row>
    <row r="31" spans="4:32" x14ac:dyDescent="0.35"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</row>
    <row r="32" spans="4:32" x14ac:dyDescent="0.35">
      <c r="D32" s="9"/>
      <c r="E32" s="9"/>
      <c r="F32" s="9"/>
      <c r="G32" s="9"/>
      <c r="H32" s="9"/>
      <c r="I32" s="9"/>
      <c r="J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</row>
    <row r="33" spans="4:32" x14ac:dyDescent="0.35">
      <c r="D33" s="9"/>
      <c r="E33" s="9"/>
      <c r="F33" s="9"/>
      <c r="G33" s="9"/>
      <c r="H33" s="9"/>
      <c r="I33" s="9"/>
      <c r="J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</row>
    <row r="34" spans="4:32" x14ac:dyDescent="0.35"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</row>
  </sheetData>
  <dataValidations count="1">
    <dataValidation type="list" allowBlank="1" showInputMessage="1" showErrorMessage="1" sqref="W3" xr:uid="{30129DD6-FE35-4581-A106-32CB83C263DE}">
      <formula1>#REF!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71540-4ED4-4EAC-87C0-BE57411FBC44}">
  <sheetPr codeName="Feuil7"/>
  <dimension ref="A1:AF401"/>
  <sheetViews>
    <sheetView zoomScale="76" zoomScaleNormal="60" workbookViewId="0">
      <selection activeCell="F24" sqref="F24"/>
    </sheetView>
  </sheetViews>
  <sheetFormatPr baseColWidth="10" defaultRowHeight="14.5" x14ac:dyDescent="0.35"/>
  <cols>
    <col min="1" max="1" width="15.08984375" customWidth="1"/>
    <col min="2" max="2" width="15.36328125" customWidth="1"/>
    <col min="3" max="3" width="17.08984375" customWidth="1"/>
    <col min="4" max="4" width="21.08984375" bestFit="1" customWidth="1"/>
    <col min="5" max="5" width="22.90625" style="69" customWidth="1"/>
    <col min="6" max="6" width="23.26953125" customWidth="1"/>
    <col min="7" max="7" width="14.54296875" customWidth="1"/>
    <col min="8" max="8" width="20.90625" customWidth="1"/>
    <col min="10" max="10" width="15.90625" customWidth="1"/>
    <col min="11" max="11" width="15.26953125" customWidth="1"/>
    <col min="12" max="12" width="18.81640625" customWidth="1"/>
    <col min="13" max="13" width="27.36328125" customWidth="1"/>
    <col min="14" max="14" width="20.54296875" customWidth="1"/>
    <col min="15" max="15" width="26" customWidth="1"/>
    <col min="16" max="16" width="24.90625" customWidth="1"/>
    <col min="17" max="17" width="18.36328125" customWidth="1"/>
    <col min="18" max="18" width="37.6328125" customWidth="1"/>
    <col min="19" max="19" width="22.26953125" customWidth="1"/>
    <col min="20" max="20" width="24.90625" bestFit="1" customWidth="1"/>
    <col min="21" max="21" width="16.1796875" customWidth="1"/>
    <col min="22" max="22" width="18.1796875" customWidth="1"/>
    <col min="23" max="23" width="25.81640625" customWidth="1"/>
    <col min="24" max="24" width="32" bestFit="1" customWidth="1"/>
    <col min="25" max="25" width="21.81640625" customWidth="1"/>
    <col min="26" max="26" width="18.6328125" customWidth="1"/>
    <col min="27" max="27" width="15.90625" customWidth="1"/>
    <col min="28" max="28" width="18.7265625" customWidth="1"/>
    <col min="29" max="29" width="33.7265625" customWidth="1"/>
    <col min="30" max="30" width="19.08984375" bestFit="1" customWidth="1"/>
    <col min="31" max="31" width="16.90625" bestFit="1" customWidth="1"/>
    <col min="32" max="32" width="18.7265625" customWidth="1"/>
  </cols>
  <sheetData>
    <row r="1" spans="1:32" ht="17.5" customHeight="1" x14ac:dyDescent="0.35">
      <c r="A1" s="14" t="s">
        <v>25</v>
      </c>
      <c r="B1" s="14"/>
      <c r="C1" s="14"/>
      <c r="D1" s="14"/>
      <c r="E1" s="65"/>
      <c r="F1" s="21" t="s">
        <v>26</v>
      </c>
      <c r="G1" s="21"/>
      <c r="H1" s="21"/>
      <c r="I1" s="21"/>
      <c r="J1" s="21"/>
      <c r="K1" s="21"/>
      <c r="L1" s="21"/>
      <c r="M1" s="21"/>
      <c r="N1" s="22" t="s">
        <v>30</v>
      </c>
      <c r="O1" s="22"/>
      <c r="P1" s="22"/>
      <c r="Q1" s="22"/>
      <c r="R1" s="22"/>
      <c r="S1" s="22"/>
      <c r="T1" s="22"/>
      <c r="U1" s="22"/>
      <c r="V1" s="22"/>
      <c r="W1" s="22"/>
      <c r="X1" s="22"/>
      <c r="Y1" s="23" t="s">
        <v>34</v>
      </c>
      <c r="Z1" s="24"/>
      <c r="AA1" s="24"/>
      <c r="AB1" s="25"/>
      <c r="AC1" s="26" t="s">
        <v>36</v>
      </c>
      <c r="AD1" s="26"/>
      <c r="AE1" s="26"/>
      <c r="AF1" s="26"/>
    </row>
    <row r="2" spans="1:32" s="60" customFormat="1" ht="20" customHeight="1" x14ac:dyDescent="0.35">
      <c r="A2" s="52" t="s">
        <v>5</v>
      </c>
      <c r="B2" s="53" t="s">
        <v>1265</v>
      </c>
      <c r="C2" s="54" t="s">
        <v>11</v>
      </c>
      <c r="D2" s="54" t="s">
        <v>16</v>
      </c>
      <c r="E2" s="66" t="s">
        <v>23</v>
      </c>
      <c r="F2" s="54" t="s">
        <v>6</v>
      </c>
      <c r="G2" s="54" t="s">
        <v>27</v>
      </c>
      <c r="H2" s="55" t="s">
        <v>10</v>
      </c>
      <c r="I2" s="54" t="s">
        <v>12</v>
      </c>
      <c r="J2" s="54" t="s">
        <v>28</v>
      </c>
      <c r="K2" s="54" t="s">
        <v>17</v>
      </c>
      <c r="L2" s="55" t="s">
        <v>18</v>
      </c>
      <c r="M2" s="54" t="s">
        <v>29</v>
      </c>
      <c r="N2" s="54" t="s">
        <v>7</v>
      </c>
      <c r="O2" s="54" t="s">
        <v>31</v>
      </c>
      <c r="P2" s="54" t="s">
        <v>19</v>
      </c>
      <c r="Q2" s="54" t="s">
        <v>24</v>
      </c>
      <c r="R2" s="54" t="s">
        <v>32</v>
      </c>
      <c r="S2" s="54" t="s">
        <v>33</v>
      </c>
      <c r="T2" s="54" t="s">
        <v>21</v>
      </c>
      <c r="U2" s="56" t="s">
        <v>8</v>
      </c>
      <c r="V2" s="56" t="s">
        <v>13</v>
      </c>
      <c r="W2" s="56" t="s">
        <v>20</v>
      </c>
      <c r="X2" s="54" t="s">
        <v>9</v>
      </c>
      <c r="Y2" s="57" t="s">
        <v>35</v>
      </c>
      <c r="Z2" s="57" t="s">
        <v>14</v>
      </c>
      <c r="AA2" s="57" t="s">
        <v>22</v>
      </c>
      <c r="AB2" s="57" t="s">
        <v>15</v>
      </c>
      <c r="AC2" s="54" t="s">
        <v>37</v>
      </c>
      <c r="AD2" s="58" t="s">
        <v>38</v>
      </c>
      <c r="AE2" s="58" t="s">
        <v>39</v>
      </c>
      <c r="AF2" s="59" t="s">
        <v>40</v>
      </c>
    </row>
    <row r="3" spans="1:32" x14ac:dyDescent="0.35">
      <c r="A3" s="34">
        <v>70664731098</v>
      </c>
      <c r="B3" s="13" t="s">
        <v>1266</v>
      </c>
      <c r="C3" s="13">
        <v>79554346445</v>
      </c>
      <c r="D3" s="13" t="s">
        <v>41</v>
      </c>
      <c r="E3" s="67" t="s">
        <v>60</v>
      </c>
      <c r="F3" s="13" t="s">
        <v>65</v>
      </c>
      <c r="G3" s="13" t="s">
        <v>463</v>
      </c>
      <c r="H3" s="13" t="s">
        <v>3</v>
      </c>
      <c r="I3" s="15">
        <v>0.6</v>
      </c>
      <c r="J3" s="16">
        <v>45063</v>
      </c>
      <c r="K3" s="17">
        <f>EDATE(J3,18)</f>
        <v>45613</v>
      </c>
      <c r="L3" s="13" t="s">
        <v>464</v>
      </c>
      <c r="M3" s="17"/>
      <c r="N3" s="17"/>
      <c r="O3" s="13"/>
      <c r="P3" s="18"/>
      <c r="Q3" s="17"/>
      <c r="R3" s="13"/>
      <c r="S3" s="13" t="s">
        <v>476</v>
      </c>
      <c r="T3" s="13" t="s">
        <v>880</v>
      </c>
      <c r="U3" s="19">
        <v>9490769</v>
      </c>
      <c r="V3" s="20">
        <v>5694461.3999999994</v>
      </c>
      <c r="W3" s="20">
        <v>949076.9</v>
      </c>
      <c r="X3" s="17">
        <v>45368</v>
      </c>
      <c r="Y3" s="13" t="s">
        <v>3</v>
      </c>
      <c r="Z3" s="13" t="s">
        <v>2</v>
      </c>
      <c r="AA3" s="13" t="s">
        <v>2</v>
      </c>
      <c r="AB3" s="13" t="s">
        <v>3</v>
      </c>
      <c r="AC3" s="13" t="s">
        <v>3</v>
      </c>
      <c r="AD3" s="13" t="s">
        <v>1259</v>
      </c>
      <c r="AE3" s="19">
        <v>6668467</v>
      </c>
      <c r="AF3" s="36">
        <v>4001080.1999999997</v>
      </c>
    </row>
    <row r="4" spans="1:32" x14ac:dyDescent="0.35">
      <c r="A4" s="34">
        <v>66280402874</v>
      </c>
      <c r="B4" s="13" t="s">
        <v>1266</v>
      </c>
      <c r="C4" s="13">
        <v>44218822471</v>
      </c>
      <c r="D4" s="13" t="s">
        <v>46</v>
      </c>
      <c r="E4" s="67" t="s">
        <v>55</v>
      </c>
      <c r="F4" s="13" t="s">
        <v>66</v>
      </c>
      <c r="G4" s="13" t="s">
        <v>462</v>
      </c>
      <c r="H4" s="13" t="s">
        <v>3</v>
      </c>
      <c r="I4" s="15">
        <v>0.7</v>
      </c>
      <c r="J4" s="16">
        <v>45214</v>
      </c>
      <c r="K4" s="17">
        <f t="shared" ref="K4:K67" si="0">EDATE(J4,18)</f>
        <v>45762</v>
      </c>
      <c r="L4" s="13" t="s">
        <v>464</v>
      </c>
      <c r="M4" s="17"/>
      <c r="N4" s="17"/>
      <c r="O4" s="13"/>
      <c r="P4" s="18"/>
      <c r="Q4" s="17"/>
      <c r="S4" s="13" t="s">
        <v>477</v>
      </c>
      <c r="T4" s="13" t="s">
        <v>881</v>
      </c>
      <c r="U4" s="19">
        <v>6668467</v>
      </c>
      <c r="V4" s="20">
        <v>4001080.1999999997</v>
      </c>
      <c r="W4" s="20">
        <v>666846.70000000007</v>
      </c>
      <c r="X4" s="17">
        <v>45625</v>
      </c>
      <c r="Y4" s="13" t="s">
        <v>3</v>
      </c>
      <c r="Z4" s="13" t="s">
        <v>1258</v>
      </c>
      <c r="AA4" s="13" t="s">
        <v>1258</v>
      </c>
      <c r="AB4" s="13" t="s">
        <v>4</v>
      </c>
      <c r="AC4" s="13" t="s">
        <v>3</v>
      </c>
      <c r="AD4" s="13" t="s">
        <v>1259</v>
      </c>
      <c r="AE4" s="19">
        <v>3021406</v>
      </c>
      <c r="AF4" s="36">
        <v>1812843.5999999999</v>
      </c>
    </row>
    <row r="5" spans="1:32" x14ac:dyDescent="0.35">
      <c r="A5" s="34">
        <v>70698999869</v>
      </c>
      <c r="B5" s="13" t="s">
        <v>1266</v>
      </c>
      <c r="C5" s="13">
        <v>92226882915</v>
      </c>
      <c r="D5" s="13" t="s">
        <v>42</v>
      </c>
      <c r="E5" s="67" t="s">
        <v>51</v>
      </c>
      <c r="F5" s="13" t="s">
        <v>67</v>
      </c>
      <c r="G5" s="13" t="s">
        <v>462</v>
      </c>
      <c r="H5" s="13" t="s">
        <v>3</v>
      </c>
      <c r="I5" s="15">
        <v>0.5</v>
      </c>
      <c r="J5" s="16">
        <v>44943</v>
      </c>
      <c r="K5" s="17">
        <f t="shared" si="0"/>
        <v>45490</v>
      </c>
      <c r="L5" s="13" t="s">
        <v>465</v>
      </c>
      <c r="M5" s="17">
        <v>45205</v>
      </c>
      <c r="N5" s="17">
        <v>45076</v>
      </c>
      <c r="O5" s="13" t="s">
        <v>468</v>
      </c>
      <c r="P5" s="18" t="s">
        <v>471</v>
      </c>
      <c r="Q5" s="17">
        <v>45602</v>
      </c>
      <c r="R5" s="13" t="s">
        <v>466</v>
      </c>
      <c r="S5" s="13" t="s">
        <v>478</v>
      </c>
      <c r="T5" s="13" t="s">
        <v>882</v>
      </c>
      <c r="U5" s="19">
        <v>3021406</v>
      </c>
      <c r="V5" s="20">
        <v>1812843.5999999999</v>
      </c>
      <c r="W5" s="20">
        <v>302140.60000000003</v>
      </c>
      <c r="X5" s="17">
        <v>45471</v>
      </c>
      <c r="Y5" s="13" t="s">
        <v>3</v>
      </c>
      <c r="Z5" s="13" t="s">
        <v>2</v>
      </c>
      <c r="AA5" s="13" t="s">
        <v>1258</v>
      </c>
      <c r="AB5" s="13" t="s">
        <v>4</v>
      </c>
      <c r="AC5" s="13" t="s">
        <v>3</v>
      </c>
      <c r="AD5" s="13" t="s">
        <v>1259</v>
      </c>
      <c r="AE5" s="19">
        <v>4385814</v>
      </c>
      <c r="AF5" s="36">
        <v>2631488.4</v>
      </c>
    </row>
    <row r="6" spans="1:32" x14ac:dyDescent="0.35">
      <c r="A6" s="61">
        <v>13621943390</v>
      </c>
      <c r="B6" s="13" t="s">
        <v>1266</v>
      </c>
      <c r="C6" s="13">
        <v>24256382979</v>
      </c>
      <c r="D6" s="13" t="s">
        <v>46</v>
      </c>
      <c r="E6" s="67" t="s">
        <v>58</v>
      </c>
      <c r="F6" s="13" t="s">
        <v>68</v>
      </c>
      <c r="G6" s="13" t="s">
        <v>462</v>
      </c>
      <c r="H6" s="13" t="s">
        <v>3</v>
      </c>
      <c r="I6" s="15">
        <v>0.6</v>
      </c>
      <c r="J6" s="16">
        <v>45120</v>
      </c>
      <c r="K6" s="17">
        <f t="shared" si="0"/>
        <v>45670</v>
      </c>
      <c r="L6" s="13" t="s">
        <v>464</v>
      </c>
      <c r="M6" s="17"/>
      <c r="N6" s="17"/>
      <c r="O6" s="13"/>
      <c r="P6" s="18"/>
      <c r="Q6" s="17"/>
      <c r="R6" s="13"/>
      <c r="S6" s="13" t="s">
        <v>479</v>
      </c>
      <c r="T6" s="13" t="s">
        <v>883</v>
      </c>
      <c r="U6" s="19">
        <v>4385814</v>
      </c>
      <c r="V6" s="20">
        <v>2631488.4</v>
      </c>
      <c r="W6" s="20">
        <v>438581.4</v>
      </c>
      <c r="X6" s="17">
        <v>45553</v>
      </c>
      <c r="Y6" s="13" t="s">
        <v>4</v>
      </c>
      <c r="Z6" s="13" t="s">
        <v>1258</v>
      </c>
      <c r="AA6" s="13" t="s">
        <v>1258</v>
      </c>
      <c r="AB6" s="13" t="s">
        <v>4</v>
      </c>
      <c r="AC6" s="13" t="s">
        <v>4</v>
      </c>
      <c r="AD6" s="13" t="s">
        <v>1259</v>
      </c>
      <c r="AE6" s="19">
        <v>1399374</v>
      </c>
      <c r="AF6" s="36">
        <v>839624.4</v>
      </c>
    </row>
    <row r="7" spans="1:32" x14ac:dyDescent="0.35">
      <c r="A7" s="34">
        <v>39438844639</v>
      </c>
      <c r="B7" s="13" t="s">
        <v>1266</v>
      </c>
      <c r="C7" s="13">
        <v>15834939355</v>
      </c>
      <c r="D7" s="13" t="s">
        <v>49</v>
      </c>
      <c r="E7" s="67" t="s">
        <v>54</v>
      </c>
      <c r="F7" s="13" t="s">
        <v>69</v>
      </c>
      <c r="G7" s="13" t="s">
        <v>462</v>
      </c>
      <c r="H7" s="13" t="s">
        <v>3</v>
      </c>
      <c r="I7" s="15">
        <v>0.6</v>
      </c>
      <c r="J7" s="16">
        <v>45206</v>
      </c>
      <c r="K7" s="17">
        <f t="shared" si="0"/>
        <v>45754</v>
      </c>
      <c r="L7" s="13" t="s">
        <v>464</v>
      </c>
      <c r="M7" s="17"/>
      <c r="N7" s="17"/>
      <c r="O7" s="13"/>
      <c r="P7" s="18"/>
      <c r="Q7" s="17"/>
      <c r="R7" s="13"/>
      <c r="S7" s="13" t="s">
        <v>480</v>
      </c>
      <c r="T7" s="13" t="s">
        <v>884</v>
      </c>
      <c r="U7" s="19">
        <v>1399374</v>
      </c>
      <c r="V7" s="20">
        <v>839624.4</v>
      </c>
      <c r="W7" s="20">
        <v>139937.4</v>
      </c>
      <c r="X7" s="17">
        <v>45405</v>
      </c>
      <c r="Y7" s="13" t="s">
        <v>3</v>
      </c>
      <c r="Z7" s="13" t="s">
        <v>1258</v>
      </c>
      <c r="AA7" s="13" t="s">
        <v>1258</v>
      </c>
      <c r="AB7" s="13" t="s">
        <v>3</v>
      </c>
      <c r="AC7" s="13" t="s">
        <v>3</v>
      </c>
      <c r="AD7" s="13" t="s">
        <v>1259</v>
      </c>
      <c r="AE7" s="19">
        <v>2720357</v>
      </c>
      <c r="AF7" s="36">
        <v>1632214.2</v>
      </c>
    </row>
    <row r="8" spans="1:32" x14ac:dyDescent="0.35">
      <c r="A8" s="34">
        <v>92068900305</v>
      </c>
      <c r="B8" s="13" t="s">
        <v>1266</v>
      </c>
      <c r="C8" s="13">
        <v>90258909190</v>
      </c>
      <c r="D8" s="13" t="s">
        <v>50</v>
      </c>
      <c r="E8" s="67" t="s">
        <v>58</v>
      </c>
      <c r="F8" s="13" t="s">
        <v>70</v>
      </c>
      <c r="G8" s="13" t="s">
        <v>463</v>
      </c>
      <c r="H8" s="13" t="s">
        <v>3</v>
      </c>
      <c r="I8" s="15">
        <v>0.5</v>
      </c>
      <c r="J8" s="16">
        <v>45231</v>
      </c>
      <c r="K8" s="17">
        <f t="shared" si="0"/>
        <v>45778</v>
      </c>
      <c r="L8" s="13" t="s">
        <v>464</v>
      </c>
      <c r="M8" s="17"/>
      <c r="N8" s="17"/>
      <c r="O8" s="13"/>
      <c r="P8" s="18"/>
      <c r="Q8" s="17"/>
      <c r="R8" s="13"/>
      <c r="S8" s="13" t="s">
        <v>481</v>
      </c>
      <c r="T8" s="13" t="s">
        <v>885</v>
      </c>
      <c r="U8" s="19">
        <v>2720357</v>
      </c>
      <c r="V8" s="20">
        <v>1632214.2</v>
      </c>
      <c r="W8" s="20">
        <v>272035.7</v>
      </c>
      <c r="X8" s="17">
        <v>45488</v>
      </c>
      <c r="Y8" s="13" t="s">
        <v>3</v>
      </c>
      <c r="Z8" s="13" t="s">
        <v>2</v>
      </c>
      <c r="AA8" s="13" t="s">
        <v>1258</v>
      </c>
      <c r="AB8" s="13" t="s">
        <v>4</v>
      </c>
      <c r="AC8" s="13" t="s">
        <v>3</v>
      </c>
      <c r="AD8" s="13" t="s">
        <v>1258</v>
      </c>
      <c r="AE8" s="19">
        <v>3877170</v>
      </c>
      <c r="AF8" s="36">
        <v>2326302</v>
      </c>
    </row>
    <row r="9" spans="1:32" x14ac:dyDescent="0.35">
      <c r="A9" s="62">
        <v>10937529086</v>
      </c>
      <c r="B9" s="13" t="s">
        <v>1266</v>
      </c>
      <c r="C9" s="13">
        <v>19230422172</v>
      </c>
      <c r="D9" s="13" t="s">
        <v>49</v>
      </c>
      <c r="E9" s="67" t="s">
        <v>58</v>
      </c>
      <c r="F9" s="13" t="s">
        <v>71</v>
      </c>
      <c r="G9" s="13" t="s">
        <v>463</v>
      </c>
      <c r="H9" s="13" t="s">
        <v>3</v>
      </c>
      <c r="I9" s="15">
        <v>0.6</v>
      </c>
      <c r="J9" s="16">
        <v>45064</v>
      </c>
      <c r="K9" s="17">
        <f t="shared" si="0"/>
        <v>45614</v>
      </c>
      <c r="L9" s="13" t="s">
        <v>465</v>
      </c>
      <c r="M9" s="17">
        <v>45009</v>
      </c>
      <c r="N9" s="17">
        <v>45141</v>
      </c>
      <c r="O9" s="13" t="s">
        <v>468</v>
      </c>
      <c r="P9" s="18" t="s">
        <v>471</v>
      </c>
      <c r="Q9" s="17">
        <v>45359</v>
      </c>
      <c r="R9" s="13"/>
      <c r="S9" s="13" t="s">
        <v>482</v>
      </c>
      <c r="T9" s="13" t="s">
        <v>886</v>
      </c>
      <c r="U9" s="19">
        <v>3877170</v>
      </c>
      <c r="V9" s="20">
        <v>2326302</v>
      </c>
      <c r="W9" s="20">
        <v>387717</v>
      </c>
      <c r="X9" s="17">
        <v>45645</v>
      </c>
      <c r="Y9" s="13" t="s">
        <v>4</v>
      </c>
      <c r="Z9" s="13" t="s">
        <v>2</v>
      </c>
      <c r="AA9" s="13" t="s">
        <v>1258</v>
      </c>
      <c r="AB9" s="13" t="s">
        <v>4</v>
      </c>
      <c r="AC9" s="13" t="s">
        <v>4</v>
      </c>
      <c r="AD9" s="13" t="s">
        <v>1259</v>
      </c>
      <c r="AE9" s="19">
        <v>5440169</v>
      </c>
      <c r="AF9" s="36">
        <v>3264101.4</v>
      </c>
    </row>
    <row r="10" spans="1:32" x14ac:dyDescent="0.35">
      <c r="A10" s="35">
        <v>33248470109</v>
      </c>
      <c r="B10" s="13" t="s">
        <v>1266</v>
      </c>
      <c r="C10" s="13">
        <v>10081762844</v>
      </c>
      <c r="D10" s="13" t="s">
        <v>43</v>
      </c>
      <c r="E10" s="67" t="s">
        <v>60</v>
      </c>
      <c r="F10" s="13" t="s">
        <v>72</v>
      </c>
      <c r="G10" s="13" t="s">
        <v>463</v>
      </c>
      <c r="H10" s="13" t="s">
        <v>3</v>
      </c>
      <c r="I10" s="15">
        <v>0.6</v>
      </c>
      <c r="J10" s="16">
        <v>45006</v>
      </c>
      <c r="K10" s="17">
        <f t="shared" si="0"/>
        <v>45556</v>
      </c>
      <c r="L10" s="13" t="s">
        <v>465</v>
      </c>
      <c r="M10" s="17">
        <v>45265</v>
      </c>
      <c r="N10" s="17">
        <v>45096</v>
      </c>
      <c r="O10" s="13" t="s">
        <v>470</v>
      </c>
      <c r="P10" s="18" t="s">
        <v>471</v>
      </c>
      <c r="Q10" s="17">
        <v>45536</v>
      </c>
      <c r="R10" s="13"/>
      <c r="S10" s="13" t="s">
        <v>483</v>
      </c>
      <c r="T10" s="13" t="s">
        <v>887</v>
      </c>
      <c r="U10" s="19">
        <v>5440169</v>
      </c>
      <c r="V10" s="20">
        <v>3264101.4</v>
      </c>
      <c r="W10" s="20">
        <v>544016.9</v>
      </c>
      <c r="X10" s="17">
        <v>45520</v>
      </c>
      <c r="Y10" s="13" t="s">
        <v>4</v>
      </c>
      <c r="Z10" s="13" t="s">
        <v>2</v>
      </c>
      <c r="AA10" s="13" t="s">
        <v>1258</v>
      </c>
      <c r="AB10" s="13" t="s">
        <v>4</v>
      </c>
      <c r="AC10" s="13" t="s">
        <v>4</v>
      </c>
      <c r="AD10" s="13" t="s">
        <v>1258</v>
      </c>
      <c r="AE10" s="19">
        <v>8827317</v>
      </c>
      <c r="AF10" s="36">
        <v>5296390.2</v>
      </c>
    </row>
    <row r="11" spans="1:32" x14ac:dyDescent="0.35">
      <c r="A11" s="34">
        <v>11838722221</v>
      </c>
      <c r="B11" s="13" t="s">
        <v>1266</v>
      </c>
      <c r="C11" s="13">
        <v>44448567637</v>
      </c>
      <c r="D11" s="13" t="s">
        <v>46</v>
      </c>
      <c r="E11" s="67" t="s">
        <v>59</v>
      </c>
      <c r="F11" s="13" t="s">
        <v>73</v>
      </c>
      <c r="G11" s="13" t="s">
        <v>463</v>
      </c>
      <c r="H11" s="13" t="s">
        <v>3</v>
      </c>
      <c r="I11" s="15">
        <v>0.6</v>
      </c>
      <c r="J11" s="16">
        <v>44939</v>
      </c>
      <c r="K11" s="17">
        <f t="shared" si="0"/>
        <v>45486</v>
      </c>
      <c r="L11" s="13" t="s">
        <v>464</v>
      </c>
      <c r="M11" s="17"/>
      <c r="N11" s="17"/>
      <c r="O11" s="13"/>
      <c r="P11" s="18"/>
      <c r="Q11" s="17"/>
      <c r="R11" s="13"/>
      <c r="S11" s="13" t="s">
        <v>484</v>
      </c>
      <c r="T11" s="13" t="s">
        <v>888</v>
      </c>
      <c r="U11" s="19">
        <v>8827317</v>
      </c>
      <c r="V11" s="20">
        <v>5296390.2</v>
      </c>
      <c r="W11" s="20">
        <v>882731.70000000007</v>
      </c>
      <c r="X11" s="17">
        <v>45441</v>
      </c>
      <c r="Y11" s="13" t="s">
        <v>4</v>
      </c>
      <c r="Z11" s="13" t="s">
        <v>2</v>
      </c>
      <c r="AA11" s="13" t="s">
        <v>1258</v>
      </c>
      <c r="AB11" s="13" t="s">
        <v>3</v>
      </c>
      <c r="AC11" s="13" t="s">
        <v>4</v>
      </c>
      <c r="AD11" s="13" t="s">
        <v>1259</v>
      </c>
      <c r="AE11" s="19">
        <v>8806105</v>
      </c>
      <c r="AF11" s="36">
        <v>5283663</v>
      </c>
    </row>
    <row r="12" spans="1:32" x14ac:dyDescent="0.35">
      <c r="A12" s="34">
        <v>18146914552</v>
      </c>
      <c r="B12" s="13" t="s">
        <v>1266</v>
      </c>
      <c r="C12" s="13">
        <v>24651475066</v>
      </c>
      <c r="D12" s="13" t="s">
        <v>47</v>
      </c>
      <c r="E12" s="67" t="s">
        <v>54</v>
      </c>
      <c r="F12" s="13" t="s">
        <v>74</v>
      </c>
      <c r="G12" s="13" t="s">
        <v>463</v>
      </c>
      <c r="H12" s="13" t="s">
        <v>3</v>
      </c>
      <c r="I12" s="15">
        <v>0.5</v>
      </c>
      <c r="J12" s="16">
        <v>45097</v>
      </c>
      <c r="K12" s="17">
        <f t="shared" si="0"/>
        <v>45646</v>
      </c>
      <c r="L12" s="13" t="s">
        <v>465</v>
      </c>
      <c r="M12" s="17">
        <v>45230</v>
      </c>
      <c r="N12" s="17">
        <v>45312</v>
      </c>
      <c r="O12" s="13" t="s">
        <v>468</v>
      </c>
      <c r="P12" s="18" t="s">
        <v>471</v>
      </c>
      <c r="Q12" s="17">
        <v>45354</v>
      </c>
      <c r="R12" s="13"/>
      <c r="S12" s="13" t="s">
        <v>485</v>
      </c>
      <c r="T12" s="13" t="s">
        <v>889</v>
      </c>
      <c r="U12" s="19">
        <v>8806105</v>
      </c>
      <c r="V12" s="20">
        <v>5283663</v>
      </c>
      <c r="W12" s="20">
        <v>880610.5</v>
      </c>
      <c r="X12" s="17">
        <v>45555</v>
      </c>
      <c r="Y12" s="13" t="s">
        <v>4</v>
      </c>
      <c r="Z12" s="13" t="s">
        <v>2</v>
      </c>
      <c r="AA12" s="13" t="s">
        <v>1258</v>
      </c>
      <c r="AB12" s="13" t="s">
        <v>3</v>
      </c>
      <c r="AC12" s="13" t="s">
        <v>4</v>
      </c>
      <c r="AD12" s="13" t="s">
        <v>1259</v>
      </c>
      <c r="AE12" s="19">
        <v>2420270</v>
      </c>
      <c r="AF12" s="36">
        <v>1452162</v>
      </c>
    </row>
    <row r="13" spans="1:32" x14ac:dyDescent="0.35">
      <c r="A13" s="35">
        <v>20178221073</v>
      </c>
      <c r="B13" s="13" t="s">
        <v>1266</v>
      </c>
      <c r="C13" s="13">
        <v>14936950089</v>
      </c>
      <c r="D13" s="13" t="s">
        <v>42</v>
      </c>
      <c r="E13" s="67" t="s">
        <v>58</v>
      </c>
      <c r="F13" s="13" t="s">
        <v>63</v>
      </c>
      <c r="G13" s="13" t="s">
        <v>463</v>
      </c>
      <c r="H13" s="13" t="s">
        <v>3</v>
      </c>
      <c r="I13" s="15">
        <v>0.6</v>
      </c>
      <c r="J13" s="16">
        <v>45248</v>
      </c>
      <c r="K13" s="17">
        <f t="shared" si="0"/>
        <v>45795</v>
      </c>
      <c r="L13" s="13" t="s">
        <v>465</v>
      </c>
      <c r="M13" s="17">
        <v>45012</v>
      </c>
      <c r="N13" s="17">
        <v>45508</v>
      </c>
      <c r="O13" s="13" t="s">
        <v>468</v>
      </c>
      <c r="P13" s="18" t="s">
        <v>471</v>
      </c>
      <c r="Q13" s="17">
        <v>45544</v>
      </c>
      <c r="R13" s="13"/>
      <c r="S13" s="13" t="s">
        <v>486</v>
      </c>
      <c r="T13" s="13" t="s">
        <v>890</v>
      </c>
      <c r="U13" s="19">
        <v>2420270</v>
      </c>
      <c r="V13" s="20">
        <v>1452162</v>
      </c>
      <c r="W13" s="20">
        <v>242027</v>
      </c>
      <c r="X13" s="17">
        <v>45625</v>
      </c>
      <c r="Y13" s="13" t="s">
        <v>3</v>
      </c>
      <c r="Z13" s="13" t="s">
        <v>2</v>
      </c>
      <c r="AA13" s="13" t="s">
        <v>1258</v>
      </c>
      <c r="AB13" s="13" t="s">
        <v>4</v>
      </c>
      <c r="AC13" s="13" t="s">
        <v>3</v>
      </c>
      <c r="AD13" s="13" t="s">
        <v>1258</v>
      </c>
      <c r="AE13" s="19">
        <v>3838379</v>
      </c>
      <c r="AF13" s="36">
        <v>2303027.4</v>
      </c>
    </row>
    <row r="14" spans="1:32" x14ac:dyDescent="0.35">
      <c r="A14" s="34">
        <v>77928280968</v>
      </c>
      <c r="B14" s="13" t="s">
        <v>1266</v>
      </c>
      <c r="C14" s="13">
        <v>97438695954</v>
      </c>
      <c r="D14" s="13" t="s">
        <v>48</v>
      </c>
      <c r="E14" s="67" t="s">
        <v>57</v>
      </c>
      <c r="F14" s="13" t="s">
        <v>75</v>
      </c>
      <c r="G14" s="13" t="s">
        <v>463</v>
      </c>
      <c r="H14" s="13" t="s">
        <v>3</v>
      </c>
      <c r="I14" s="15">
        <v>0.7</v>
      </c>
      <c r="J14" s="16">
        <v>45191</v>
      </c>
      <c r="K14" s="17">
        <f t="shared" si="0"/>
        <v>45738</v>
      </c>
      <c r="L14" s="13" t="s">
        <v>464</v>
      </c>
      <c r="M14" s="17"/>
      <c r="N14" s="17"/>
      <c r="O14" s="13"/>
      <c r="P14" s="18"/>
      <c r="Q14" s="17"/>
      <c r="S14" s="13" t="s">
        <v>487</v>
      </c>
      <c r="T14" s="13" t="s">
        <v>891</v>
      </c>
      <c r="U14" s="19">
        <v>3838379</v>
      </c>
      <c r="V14" s="20">
        <v>2303027.4</v>
      </c>
      <c r="W14" s="20">
        <v>383837.9</v>
      </c>
      <c r="X14" s="17">
        <v>45463</v>
      </c>
      <c r="Y14" s="13" t="s">
        <v>3</v>
      </c>
      <c r="Z14" s="13" t="s">
        <v>1258</v>
      </c>
      <c r="AA14" s="13" t="s">
        <v>1258</v>
      </c>
      <c r="AB14" s="13" t="s">
        <v>4</v>
      </c>
      <c r="AC14" s="13" t="s">
        <v>3</v>
      </c>
      <c r="AD14" s="13" t="s">
        <v>1259</v>
      </c>
      <c r="AE14" s="19">
        <v>3490806</v>
      </c>
      <c r="AF14" s="36">
        <v>2094483.5999999999</v>
      </c>
    </row>
    <row r="15" spans="1:32" x14ac:dyDescent="0.35">
      <c r="A15" s="34">
        <v>80983361415</v>
      </c>
      <c r="B15" s="13" t="s">
        <v>1266</v>
      </c>
      <c r="C15" s="13">
        <v>17366303576</v>
      </c>
      <c r="D15" s="13" t="s">
        <v>43</v>
      </c>
      <c r="E15" s="67" t="s">
        <v>52</v>
      </c>
      <c r="F15" s="13" t="s">
        <v>76</v>
      </c>
      <c r="G15" s="13" t="s">
        <v>462</v>
      </c>
      <c r="H15" s="13" t="s">
        <v>3</v>
      </c>
      <c r="I15" s="15">
        <v>0.6</v>
      </c>
      <c r="J15" s="16">
        <v>45223</v>
      </c>
      <c r="K15" s="17">
        <f t="shared" si="0"/>
        <v>45771</v>
      </c>
      <c r="L15" s="13" t="s">
        <v>465</v>
      </c>
      <c r="M15" s="17">
        <v>45006</v>
      </c>
      <c r="N15" s="17">
        <v>45251</v>
      </c>
      <c r="O15" s="13" t="s">
        <v>470</v>
      </c>
      <c r="P15" s="18" t="s">
        <v>471</v>
      </c>
      <c r="Q15" s="17">
        <v>45524</v>
      </c>
      <c r="R15" s="13" t="s">
        <v>467</v>
      </c>
      <c r="S15" s="13" t="s">
        <v>488</v>
      </c>
      <c r="T15" s="13" t="s">
        <v>892</v>
      </c>
      <c r="U15" s="19">
        <v>3490806</v>
      </c>
      <c r="V15" s="20">
        <v>2094483.5999999999</v>
      </c>
      <c r="W15" s="20">
        <v>349080.60000000003</v>
      </c>
      <c r="X15" s="17">
        <v>45585</v>
      </c>
      <c r="Y15" s="13" t="s">
        <v>3</v>
      </c>
      <c r="Z15" s="13" t="s">
        <v>2</v>
      </c>
      <c r="AA15" s="13" t="s">
        <v>1258</v>
      </c>
      <c r="AB15" s="13" t="s">
        <v>4</v>
      </c>
      <c r="AC15" s="13" t="s">
        <v>3</v>
      </c>
      <c r="AD15" s="13" t="s">
        <v>1258</v>
      </c>
      <c r="AE15" s="19">
        <v>3827774</v>
      </c>
      <c r="AF15" s="36">
        <v>2296664.4</v>
      </c>
    </row>
    <row r="16" spans="1:32" x14ac:dyDescent="0.35">
      <c r="A16" s="34">
        <v>42355183087</v>
      </c>
      <c r="B16" s="13" t="s">
        <v>1266</v>
      </c>
      <c r="C16" s="13">
        <v>84560662767</v>
      </c>
      <c r="D16" s="13" t="s">
        <v>47</v>
      </c>
      <c r="E16" s="67" t="s">
        <v>51</v>
      </c>
      <c r="F16" s="13" t="s">
        <v>77</v>
      </c>
      <c r="G16" s="13" t="s">
        <v>463</v>
      </c>
      <c r="H16" s="13" t="s">
        <v>3</v>
      </c>
      <c r="I16" s="15">
        <v>0.6</v>
      </c>
      <c r="J16" s="16">
        <v>45036</v>
      </c>
      <c r="K16" s="17">
        <f t="shared" si="0"/>
        <v>45585</v>
      </c>
      <c r="L16" s="13" t="s">
        <v>464</v>
      </c>
      <c r="M16" s="17"/>
      <c r="N16" s="17"/>
      <c r="O16" s="13"/>
      <c r="P16" s="18"/>
      <c r="Q16" s="17"/>
      <c r="R16" s="13"/>
      <c r="S16" s="13" t="s">
        <v>489</v>
      </c>
      <c r="T16" s="13" t="s">
        <v>893</v>
      </c>
      <c r="U16" s="19">
        <v>3827774</v>
      </c>
      <c r="V16" s="20">
        <v>2296664.4</v>
      </c>
      <c r="W16" s="20">
        <v>382777.4</v>
      </c>
      <c r="X16" s="17">
        <v>45413</v>
      </c>
      <c r="Y16" s="13" t="s">
        <v>3</v>
      </c>
      <c r="Z16" s="13" t="s">
        <v>1258</v>
      </c>
      <c r="AA16" s="13" t="s">
        <v>1258</v>
      </c>
      <c r="AB16" s="13" t="s">
        <v>4</v>
      </c>
      <c r="AC16" s="13" t="s">
        <v>3</v>
      </c>
      <c r="AD16" s="13" t="s">
        <v>1259</v>
      </c>
      <c r="AE16" s="19">
        <v>9547440</v>
      </c>
      <c r="AF16" s="36">
        <v>5728464</v>
      </c>
    </row>
    <row r="17" spans="1:32" x14ac:dyDescent="0.35">
      <c r="A17" s="34">
        <v>23074383804</v>
      </c>
      <c r="B17" s="13" t="s">
        <v>1266</v>
      </c>
      <c r="C17" s="13">
        <v>54234709072</v>
      </c>
      <c r="D17" s="13" t="s">
        <v>41</v>
      </c>
      <c r="E17" s="67" t="s">
        <v>55</v>
      </c>
      <c r="F17" s="13" t="s">
        <v>78</v>
      </c>
      <c r="G17" s="13" t="s">
        <v>462</v>
      </c>
      <c r="H17" s="13" t="s">
        <v>3</v>
      </c>
      <c r="I17" s="15">
        <v>0.6</v>
      </c>
      <c r="J17" s="16">
        <v>44981</v>
      </c>
      <c r="K17" s="17">
        <f t="shared" si="0"/>
        <v>45528</v>
      </c>
      <c r="L17" s="13" t="s">
        <v>465</v>
      </c>
      <c r="M17" s="17">
        <v>45035</v>
      </c>
      <c r="N17" s="17">
        <v>44996</v>
      </c>
      <c r="O17" s="13" t="s">
        <v>470</v>
      </c>
      <c r="P17" s="18" t="s">
        <v>469</v>
      </c>
      <c r="Q17" s="17">
        <v>45653</v>
      </c>
      <c r="R17" s="13"/>
      <c r="S17" s="13" t="s">
        <v>490</v>
      </c>
      <c r="T17" s="13" t="s">
        <v>894</v>
      </c>
      <c r="U17" s="19">
        <v>9547440</v>
      </c>
      <c r="V17" s="20">
        <v>5728464</v>
      </c>
      <c r="W17" s="20">
        <v>954744</v>
      </c>
      <c r="X17" s="17">
        <v>45441</v>
      </c>
      <c r="Y17" s="13" t="s">
        <v>4</v>
      </c>
      <c r="Z17" s="13" t="s">
        <v>1258</v>
      </c>
      <c r="AA17" s="13" t="s">
        <v>1258</v>
      </c>
      <c r="AB17" s="13" t="s">
        <v>4</v>
      </c>
      <c r="AC17" s="13" t="s">
        <v>4</v>
      </c>
      <c r="AD17" s="13" t="s">
        <v>1259</v>
      </c>
      <c r="AE17" s="19">
        <v>7638828</v>
      </c>
      <c r="AF17" s="36">
        <v>4583296.8</v>
      </c>
    </row>
    <row r="18" spans="1:32" x14ac:dyDescent="0.35">
      <c r="A18" s="34">
        <v>92092249277</v>
      </c>
      <c r="B18" s="13" t="s">
        <v>1266</v>
      </c>
      <c r="C18" s="13">
        <v>20568765561</v>
      </c>
      <c r="D18" s="13" t="s">
        <v>44</v>
      </c>
      <c r="E18" s="67" t="s">
        <v>60</v>
      </c>
      <c r="F18" s="13" t="s">
        <v>79</v>
      </c>
      <c r="G18" s="13" t="s">
        <v>463</v>
      </c>
      <c r="H18" s="13" t="s">
        <v>3</v>
      </c>
      <c r="I18" s="15">
        <v>0.6</v>
      </c>
      <c r="J18" s="16">
        <v>45284</v>
      </c>
      <c r="K18" s="17">
        <f t="shared" si="0"/>
        <v>45832</v>
      </c>
      <c r="L18" s="13" t="s">
        <v>465</v>
      </c>
      <c r="M18" s="17">
        <v>45088</v>
      </c>
      <c r="N18" s="17">
        <v>45605</v>
      </c>
      <c r="O18" s="13" t="s">
        <v>470</v>
      </c>
      <c r="P18" s="18" t="s">
        <v>471</v>
      </c>
      <c r="Q18" s="17">
        <v>45408</v>
      </c>
      <c r="R18" s="13"/>
      <c r="S18" s="13" t="s">
        <v>491</v>
      </c>
      <c r="T18" s="13" t="s">
        <v>895</v>
      </c>
      <c r="U18" s="19">
        <v>7638828</v>
      </c>
      <c r="V18" s="20">
        <v>4583296.8</v>
      </c>
      <c r="W18" s="20">
        <v>763882.8</v>
      </c>
      <c r="X18" s="17">
        <v>45385</v>
      </c>
      <c r="Y18" s="13" t="s">
        <v>4</v>
      </c>
      <c r="Z18" s="13" t="s">
        <v>2</v>
      </c>
      <c r="AA18" s="13" t="s">
        <v>1258</v>
      </c>
      <c r="AB18" s="13" t="s">
        <v>4</v>
      </c>
      <c r="AC18" s="13" t="s">
        <v>4</v>
      </c>
      <c r="AD18" s="13" t="s">
        <v>1259</v>
      </c>
      <c r="AE18" s="19">
        <v>4718455</v>
      </c>
      <c r="AF18" s="36">
        <v>2831073</v>
      </c>
    </row>
    <row r="19" spans="1:32" x14ac:dyDescent="0.35">
      <c r="A19" s="34">
        <v>80087074476</v>
      </c>
      <c r="B19" s="13" t="s">
        <v>1266</v>
      </c>
      <c r="C19" s="13">
        <v>97462877906</v>
      </c>
      <c r="D19" s="13" t="s">
        <v>46</v>
      </c>
      <c r="E19" s="67" t="s">
        <v>57</v>
      </c>
      <c r="F19" s="13" t="s">
        <v>80</v>
      </c>
      <c r="G19" s="13" t="s">
        <v>463</v>
      </c>
      <c r="H19" s="13" t="s">
        <v>3</v>
      </c>
      <c r="I19" s="15">
        <v>0.6</v>
      </c>
      <c r="J19" s="16">
        <v>45251</v>
      </c>
      <c r="K19" s="17">
        <f t="shared" si="0"/>
        <v>45798</v>
      </c>
      <c r="L19" s="13" t="s">
        <v>464</v>
      </c>
      <c r="M19" s="17"/>
      <c r="N19" s="17"/>
      <c r="O19" s="13"/>
      <c r="P19" s="18"/>
      <c r="Q19" s="17"/>
      <c r="R19" s="13"/>
      <c r="S19" s="13" t="s">
        <v>492</v>
      </c>
      <c r="T19" s="13" t="s">
        <v>878</v>
      </c>
      <c r="U19" s="19">
        <v>4718455</v>
      </c>
      <c r="V19" s="20">
        <v>2831073</v>
      </c>
      <c r="W19" s="20">
        <v>471845.5</v>
      </c>
      <c r="X19" s="17">
        <v>45351</v>
      </c>
      <c r="Y19" s="13" t="s">
        <v>3</v>
      </c>
      <c r="Z19" s="13" t="s">
        <v>2</v>
      </c>
      <c r="AA19" s="13" t="s">
        <v>1258</v>
      </c>
      <c r="AB19" s="13" t="s">
        <v>4</v>
      </c>
      <c r="AC19" s="13" t="s">
        <v>3</v>
      </c>
      <c r="AD19" s="13" t="s">
        <v>1259</v>
      </c>
      <c r="AE19" s="19">
        <v>3529036</v>
      </c>
      <c r="AF19" s="36">
        <v>2117421.6</v>
      </c>
    </row>
    <row r="20" spans="1:32" x14ac:dyDescent="0.35">
      <c r="A20" s="34">
        <v>59752189305</v>
      </c>
      <c r="B20" s="13" t="s">
        <v>1266</v>
      </c>
      <c r="C20" s="13">
        <v>84406524158</v>
      </c>
      <c r="D20" s="13" t="s">
        <v>43</v>
      </c>
      <c r="E20" s="67" t="s">
        <v>60</v>
      </c>
      <c r="F20" s="13" t="s">
        <v>81</v>
      </c>
      <c r="G20" s="13" t="s">
        <v>462</v>
      </c>
      <c r="H20" s="13" t="s">
        <v>3</v>
      </c>
      <c r="I20" s="15">
        <v>0.6</v>
      </c>
      <c r="J20" s="16">
        <v>45085</v>
      </c>
      <c r="K20" s="17">
        <f t="shared" si="0"/>
        <v>45634</v>
      </c>
      <c r="L20" s="13" t="s">
        <v>464</v>
      </c>
      <c r="M20" s="17"/>
      <c r="N20" s="17"/>
      <c r="O20" s="13"/>
      <c r="P20" s="18"/>
      <c r="Q20" s="17"/>
      <c r="R20" s="13"/>
      <c r="S20" s="13" t="s">
        <v>493</v>
      </c>
      <c r="T20" s="13" t="s">
        <v>896</v>
      </c>
      <c r="U20" s="19">
        <v>3529036</v>
      </c>
      <c r="V20" s="20">
        <v>2117421.6</v>
      </c>
      <c r="W20" s="20">
        <v>352903.60000000003</v>
      </c>
      <c r="X20" s="17">
        <v>45362</v>
      </c>
      <c r="Y20" s="13" t="s">
        <v>3</v>
      </c>
      <c r="Z20" s="13" t="s">
        <v>1258</v>
      </c>
      <c r="AA20" s="13" t="s">
        <v>1258</v>
      </c>
      <c r="AB20" s="13" t="s">
        <v>3</v>
      </c>
      <c r="AC20" s="13" t="s">
        <v>3</v>
      </c>
      <c r="AD20" s="13" t="s">
        <v>1258</v>
      </c>
      <c r="AE20" s="19">
        <v>1689470</v>
      </c>
      <c r="AF20" s="36">
        <v>1013682</v>
      </c>
    </row>
    <row r="21" spans="1:32" x14ac:dyDescent="0.35">
      <c r="A21" s="34">
        <v>54795657553</v>
      </c>
      <c r="B21" s="13" t="s">
        <v>1266</v>
      </c>
      <c r="C21" s="13">
        <v>18686871956</v>
      </c>
      <c r="D21" s="13" t="s">
        <v>49</v>
      </c>
      <c r="E21" s="67" t="s">
        <v>58</v>
      </c>
      <c r="F21" s="13" t="s">
        <v>82</v>
      </c>
      <c r="G21" s="13" t="s">
        <v>463</v>
      </c>
      <c r="H21" s="13" t="s">
        <v>3</v>
      </c>
      <c r="I21" s="15">
        <v>0.6</v>
      </c>
      <c r="J21" s="16">
        <v>45018</v>
      </c>
      <c r="K21" s="17">
        <f t="shared" si="0"/>
        <v>45567</v>
      </c>
      <c r="L21" s="13" t="s">
        <v>465</v>
      </c>
      <c r="M21" s="17">
        <v>45281</v>
      </c>
      <c r="N21" s="17">
        <v>45299</v>
      </c>
      <c r="O21" s="13" t="s">
        <v>470</v>
      </c>
      <c r="P21" s="18" t="s">
        <v>469</v>
      </c>
      <c r="Q21" s="17">
        <v>45610</v>
      </c>
      <c r="R21" s="13"/>
      <c r="S21" s="13" t="s">
        <v>494</v>
      </c>
      <c r="T21" s="13" t="s">
        <v>897</v>
      </c>
      <c r="U21" s="19">
        <v>1689470</v>
      </c>
      <c r="V21" s="20">
        <v>1013682</v>
      </c>
      <c r="W21" s="20">
        <v>168947</v>
      </c>
      <c r="X21" s="17">
        <v>45494</v>
      </c>
      <c r="Y21" s="13" t="s">
        <v>4</v>
      </c>
      <c r="Z21" s="13" t="s">
        <v>2</v>
      </c>
      <c r="AA21" s="13" t="s">
        <v>1258</v>
      </c>
      <c r="AB21" s="13" t="s">
        <v>3</v>
      </c>
      <c r="AC21" s="13" t="s">
        <v>4</v>
      </c>
      <c r="AD21" s="13" t="s">
        <v>1259</v>
      </c>
      <c r="AE21" s="19">
        <v>3717814</v>
      </c>
      <c r="AF21" s="36">
        <v>2230688.4</v>
      </c>
    </row>
    <row r="22" spans="1:32" x14ac:dyDescent="0.35">
      <c r="A22" s="34">
        <v>17583843191</v>
      </c>
      <c r="B22" s="13" t="s">
        <v>1266</v>
      </c>
      <c r="C22" s="13">
        <v>73080038306</v>
      </c>
      <c r="D22" s="13" t="s">
        <v>48</v>
      </c>
      <c r="E22" s="67" t="s">
        <v>57</v>
      </c>
      <c r="F22" s="13" t="s">
        <v>83</v>
      </c>
      <c r="G22" s="13" t="s">
        <v>462</v>
      </c>
      <c r="H22" s="13" t="s">
        <v>3</v>
      </c>
      <c r="I22" s="15">
        <v>0.6</v>
      </c>
      <c r="J22" s="16">
        <v>44942</v>
      </c>
      <c r="K22" s="17">
        <f t="shared" si="0"/>
        <v>45489</v>
      </c>
      <c r="L22" s="13" t="s">
        <v>465</v>
      </c>
      <c r="M22" s="17">
        <v>44936</v>
      </c>
      <c r="N22" s="17">
        <v>44992</v>
      </c>
      <c r="O22" s="13" t="s">
        <v>470</v>
      </c>
      <c r="P22" s="18" t="s">
        <v>471</v>
      </c>
      <c r="Q22" s="17">
        <v>45462</v>
      </c>
      <c r="R22" s="13"/>
      <c r="S22" s="13" t="s">
        <v>495</v>
      </c>
      <c r="T22" s="13" t="s">
        <v>898</v>
      </c>
      <c r="U22" s="19">
        <v>3717814</v>
      </c>
      <c r="V22" s="20">
        <v>2230688.4</v>
      </c>
      <c r="W22" s="20">
        <v>371781.4</v>
      </c>
      <c r="X22" s="17">
        <v>45654</v>
      </c>
      <c r="Y22" s="13" t="s">
        <v>4</v>
      </c>
      <c r="Z22" s="13" t="s">
        <v>1258</v>
      </c>
      <c r="AA22" s="13" t="s">
        <v>1258</v>
      </c>
      <c r="AB22" s="13" t="s">
        <v>3</v>
      </c>
      <c r="AC22" s="13" t="s">
        <v>4</v>
      </c>
      <c r="AD22" s="13" t="s">
        <v>1258</v>
      </c>
      <c r="AE22" s="19">
        <v>6216645</v>
      </c>
      <c r="AF22" s="36">
        <v>3729987</v>
      </c>
    </row>
    <row r="23" spans="1:32" x14ac:dyDescent="0.35">
      <c r="A23" s="34">
        <v>12098434708</v>
      </c>
      <c r="B23" s="13" t="s">
        <v>1266</v>
      </c>
      <c r="C23" s="13">
        <v>28926351334</v>
      </c>
      <c r="D23" s="13" t="s">
        <v>48</v>
      </c>
      <c r="E23" s="67" t="s">
        <v>57</v>
      </c>
      <c r="F23" s="13" t="s">
        <v>84</v>
      </c>
      <c r="G23" s="13" t="s">
        <v>463</v>
      </c>
      <c r="H23" s="13" t="s">
        <v>3</v>
      </c>
      <c r="I23" s="15">
        <v>0.6</v>
      </c>
      <c r="J23" s="16">
        <v>44935</v>
      </c>
      <c r="K23" s="17">
        <f t="shared" si="0"/>
        <v>45482</v>
      </c>
      <c r="L23" s="13" t="s">
        <v>464</v>
      </c>
      <c r="M23" s="17"/>
      <c r="N23" s="17"/>
      <c r="O23" s="13"/>
      <c r="P23" s="18"/>
      <c r="Q23" s="17"/>
      <c r="R23" s="13"/>
      <c r="S23" s="13" t="s">
        <v>496</v>
      </c>
      <c r="T23" s="13" t="s">
        <v>899</v>
      </c>
      <c r="U23" s="19">
        <v>6216645</v>
      </c>
      <c r="V23" s="20">
        <v>3729987</v>
      </c>
      <c r="W23" s="20">
        <v>621664.5</v>
      </c>
      <c r="X23" s="17">
        <v>45408</v>
      </c>
      <c r="Y23" s="13" t="s">
        <v>4</v>
      </c>
      <c r="Z23" s="13" t="s">
        <v>2</v>
      </c>
      <c r="AA23" s="13" t="s">
        <v>1258</v>
      </c>
      <c r="AB23" s="13" t="s">
        <v>4</v>
      </c>
      <c r="AC23" s="13" t="s">
        <v>4</v>
      </c>
      <c r="AD23" s="13" t="s">
        <v>1259</v>
      </c>
      <c r="AE23" s="19">
        <v>4924366</v>
      </c>
      <c r="AF23" s="36">
        <v>2954619.6</v>
      </c>
    </row>
    <row r="24" spans="1:32" x14ac:dyDescent="0.35">
      <c r="A24" s="34">
        <v>76147171218</v>
      </c>
      <c r="B24" s="13" t="s">
        <v>1266</v>
      </c>
      <c r="C24" s="13">
        <v>87786163859</v>
      </c>
      <c r="D24" s="13" t="s">
        <v>50</v>
      </c>
      <c r="E24" s="67" t="s">
        <v>60</v>
      </c>
      <c r="F24" s="13" t="s">
        <v>85</v>
      </c>
      <c r="G24" s="13" t="s">
        <v>463</v>
      </c>
      <c r="H24" s="13" t="s">
        <v>3</v>
      </c>
      <c r="I24" s="15">
        <v>0.6</v>
      </c>
      <c r="J24" s="16">
        <v>45032</v>
      </c>
      <c r="K24" s="17">
        <f t="shared" si="0"/>
        <v>45581</v>
      </c>
      <c r="L24" s="13" t="s">
        <v>464</v>
      </c>
      <c r="M24" s="17"/>
      <c r="N24" s="17"/>
      <c r="O24" s="13"/>
      <c r="P24" s="18"/>
      <c r="Q24" s="17"/>
      <c r="R24" s="13"/>
      <c r="S24" s="13" t="s">
        <v>497</v>
      </c>
      <c r="T24" s="13" t="s">
        <v>900</v>
      </c>
      <c r="U24" s="19">
        <v>4924366</v>
      </c>
      <c r="V24" s="20">
        <v>2954619.6</v>
      </c>
      <c r="W24" s="20">
        <v>492436.60000000003</v>
      </c>
      <c r="X24" s="17">
        <v>45450</v>
      </c>
      <c r="Y24" s="13" t="s">
        <v>4</v>
      </c>
      <c r="Z24" s="13" t="s">
        <v>2</v>
      </c>
      <c r="AA24" s="13" t="s">
        <v>1258</v>
      </c>
      <c r="AB24" s="13" t="s">
        <v>4</v>
      </c>
      <c r="AC24" s="13" t="s">
        <v>4</v>
      </c>
      <c r="AD24" s="13" t="s">
        <v>1259</v>
      </c>
      <c r="AE24" s="19">
        <v>3451388</v>
      </c>
      <c r="AF24" s="36">
        <v>2070832.7999999998</v>
      </c>
    </row>
    <row r="25" spans="1:32" x14ac:dyDescent="0.35">
      <c r="A25" s="34">
        <v>95426749268</v>
      </c>
      <c r="B25" s="13" t="s">
        <v>1266</v>
      </c>
      <c r="C25" s="13">
        <v>35109109344</v>
      </c>
      <c r="D25" s="13" t="s">
        <v>49</v>
      </c>
      <c r="E25" s="67" t="s">
        <v>57</v>
      </c>
      <c r="F25" s="13" t="s">
        <v>86</v>
      </c>
      <c r="G25" s="13" t="s">
        <v>463</v>
      </c>
      <c r="H25" s="13" t="s">
        <v>3</v>
      </c>
      <c r="I25" s="15">
        <v>0.6</v>
      </c>
      <c r="J25" s="16">
        <v>44958</v>
      </c>
      <c r="K25" s="17">
        <f t="shared" si="0"/>
        <v>45505</v>
      </c>
      <c r="L25" s="13" t="s">
        <v>465</v>
      </c>
      <c r="M25" s="17">
        <v>45008</v>
      </c>
      <c r="N25" s="17">
        <v>45087</v>
      </c>
      <c r="O25" s="13" t="s">
        <v>470</v>
      </c>
      <c r="P25" s="18" t="s">
        <v>469</v>
      </c>
      <c r="Q25" s="17">
        <v>45496</v>
      </c>
      <c r="R25" s="13"/>
      <c r="S25" s="13" t="s">
        <v>498</v>
      </c>
      <c r="T25" s="13" t="s">
        <v>901</v>
      </c>
      <c r="U25" s="19">
        <v>3451388</v>
      </c>
      <c r="V25" s="20">
        <v>2070832.7999999998</v>
      </c>
      <c r="W25" s="20">
        <v>345138.80000000005</v>
      </c>
      <c r="X25" s="17">
        <v>45297</v>
      </c>
      <c r="Y25" s="13" t="s">
        <v>3</v>
      </c>
      <c r="Z25" s="13" t="s">
        <v>1258</v>
      </c>
      <c r="AA25" s="13" t="s">
        <v>1258</v>
      </c>
      <c r="AB25" s="13" t="s">
        <v>3</v>
      </c>
      <c r="AC25" s="13" t="s">
        <v>3</v>
      </c>
      <c r="AD25" s="13" t="s">
        <v>1258</v>
      </c>
      <c r="AE25" s="19">
        <v>1248658</v>
      </c>
      <c r="AF25" s="36">
        <v>749194.79999999993</v>
      </c>
    </row>
    <row r="26" spans="1:32" x14ac:dyDescent="0.35">
      <c r="A26" s="34">
        <v>11131865799</v>
      </c>
      <c r="B26" s="13" t="s">
        <v>1266</v>
      </c>
      <c r="C26" s="13">
        <v>91937346298</v>
      </c>
      <c r="D26" s="13" t="s">
        <v>42</v>
      </c>
      <c r="E26" s="67" t="s">
        <v>55</v>
      </c>
      <c r="F26" s="13" t="s">
        <v>87</v>
      </c>
      <c r="G26" s="13" t="s">
        <v>462</v>
      </c>
      <c r="H26" s="13" t="s">
        <v>3</v>
      </c>
      <c r="I26" s="15">
        <v>0.6</v>
      </c>
      <c r="J26" s="16">
        <v>44981</v>
      </c>
      <c r="K26" s="17">
        <f t="shared" si="0"/>
        <v>45528</v>
      </c>
      <c r="L26" s="13" t="s">
        <v>465</v>
      </c>
      <c r="M26" s="17">
        <v>45229</v>
      </c>
      <c r="N26" s="17">
        <v>45111</v>
      </c>
      <c r="O26" s="13" t="s">
        <v>470</v>
      </c>
      <c r="P26" s="18" t="s">
        <v>471</v>
      </c>
      <c r="Q26" s="17">
        <v>45379</v>
      </c>
      <c r="R26" s="13"/>
      <c r="S26" s="13" t="s">
        <v>499</v>
      </c>
      <c r="T26" s="13" t="s">
        <v>902</v>
      </c>
      <c r="U26" s="19">
        <v>1248658</v>
      </c>
      <c r="V26" s="20">
        <v>749194.79999999993</v>
      </c>
      <c r="W26" s="20">
        <v>124865.8</v>
      </c>
      <c r="X26" s="17">
        <v>45402</v>
      </c>
      <c r="Y26" s="13" t="s">
        <v>4</v>
      </c>
      <c r="Z26" s="13" t="s">
        <v>2</v>
      </c>
      <c r="AA26" s="13" t="s">
        <v>1258</v>
      </c>
      <c r="AB26" s="13" t="s">
        <v>3</v>
      </c>
      <c r="AC26" s="13" t="s">
        <v>4</v>
      </c>
      <c r="AD26" s="13" t="s">
        <v>1258</v>
      </c>
      <c r="AE26" s="19">
        <v>6364718</v>
      </c>
      <c r="AF26" s="36">
        <v>3818830.8</v>
      </c>
    </row>
    <row r="27" spans="1:32" x14ac:dyDescent="0.35">
      <c r="A27" s="34">
        <v>31280830234</v>
      </c>
      <c r="B27" s="13" t="s">
        <v>1266</v>
      </c>
      <c r="C27" s="13">
        <v>52516328677</v>
      </c>
      <c r="D27" s="13" t="s">
        <v>45</v>
      </c>
      <c r="E27" s="67" t="s">
        <v>58</v>
      </c>
      <c r="F27" s="13" t="s">
        <v>88</v>
      </c>
      <c r="G27" s="13" t="s">
        <v>462</v>
      </c>
      <c r="H27" s="13" t="s">
        <v>4</v>
      </c>
      <c r="I27" s="15">
        <v>0.7</v>
      </c>
      <c r="J27" s="16">
        <v>45283</v>
      </c>
      <c r="K27" s="17">
        <f t="shared" si="0"/>
        <v>45831</v>
      </c>
      <c r="L27" s="13" t="s">
        <v>464</v>
      </c>
      <c r="M27" s="17"/>
      <c r="N27" s="17"/>
      <c r="O27" s="13"/>
      <c r="P27" s="18"/>
      <c r="Q27" s="17"/>
      <c r="R27" s="13"/>
      <c r="S27" s="13" t="s">
        <v>500</v>
      </c>
      <c r="T27" s="13" t="s">
        <v>903</v>
      </c>
      <c r="U27" s="19">
        <v>6364718</v>
      </c>
      <c r="V27" s="20">
        <v>3818830.8</v>
      </c>
      <c r="W27" s="20">
        <v>636471.80000000005</v>
      </c>
      <c r="X27" s="17">
        <v>45595</v>
      </c>
      <c r="Y27" s="13" t="s">
        <v>4</v>
      </c>
      <c r="Z27" s="13" t="s">
        <v>2</v>
      </c>
      <c r="AA27" s="13" t="s">
        <v>1258</v>
      </c>
      <c r="AB27" s="13" t="s">
        <v>4</v>
      </c>
      <c r="AC27" s="13" t="s">
        <v>4</v>
      </c>
      <c r="AD27" s="13" t="s">
        <v>1258</v>
      </c>
      <c r="AE27" s="19">
        <v>8360286</v>
      </c>
      <c r="AF27" s="36">
        <v>5016171.5999999996</v>
      </c>
    </row>
    <row r="28" spans="1:32" x14ac:dyDescent="0.35">
      <c r="A28" s="34">
        <v>35615078893</v>
      </c>
      <c r="B28" s="13" t="s">
        <v>1266</v>
      </c>
      <c r="C28" s="13">
        <v>59199015254</v>
      </c>
      <c r="D28" s="13" t="s">
        <v>43</v>
      </c>
      <c r="E28" s="67" t="s">
        <v>59</v>
      </c>
      <c r="F28" s="13" t="s">
        <v>89</v>
      </c>
      <c r="G28" s="13" t="s">
        <v>463</v>
      </c>
      <c r="H28" s="13" t="s">
        <v>4</v>
      </c>
      <c r="I28" s="15">
        <v>0.6</v>
      </c>
      <c r="J28" s="16">
        <v>44995</v>
      </c>
      <c r="K28" s="17">
        <f t="shared" si="0"/>
        <v>45545</v>
      </c>
      <c r="L28" s="13" t="s">
        <v>465</v>
      </c>
      <c r="M28" s="17">
        <v>45156</v>
      </c>
      <c r="N28" s="17">
        <v>45189</v>
      </c>
      <c r="O28" s="13" t="s">
        <v>468</v>
      </c>
      <c r="P28" s="18" t="s">
        <v>471</v>
      </c>
      <c r="Q28" s="17">
        <v>45638</v>
      </c>
      <c r="R28" s="13"/>
      <c r="S28" s="13" t="s">
        <v>501</v>
      </c>
      <c r="T28" s="13" t="s">
        <v>904</v>
      </c>
      <c r="U28" s="19">
        <v>8360286</v>
      </c>
      <c r="V28" s="20">
        <v>5016171.5999999996</v>
      </c>
      <c r="W28" s="20">
        <v>836028.60000000009</v>
      </c>
      <c r="X28" s="17">
        <v>45550</v>
      </c>
      <c r="Y28" s="13" t="s">
        <v>4</v>
      </c>
      <c r="Z28" s="13" t="s">
        <v>1258</v>
      </c>
      <c r="AA28" s="13" t="s">
        <v>1258</v>
      </c>
      <c r="AB28" s="13" t="s">
        <v>4</v>
      </c>
      <c r="AC28" s="13" t="s">
        <v>4</v>
      </c>
      <c r="AD28" s="13" t="s">
        <v>1258</v>
      </c>
      <c r="AE28" s="19">
        <v>4489120</v>
      </c>
      <c r="AF28" s="36">
        <v>2693472</v>
      </c>
    </row>
    <row r="29" spans="1:32" x14ac:dyDescent="0.35">
      <c r="A29" s="34">
        <v>38905228526</v>
      </c>
      <c r="B29" s="13" t="s">
        <v>1266</v>
      </c>
      <c r="C29" s="13">
        <v>95188652202</v>
      </c>
      <c r="D29" s="13" t="s">
        <v>47</v>
      </c>
      <c r="E29" s="67" t="s">
        <v>59</v>
      </c>
      <c r="F29" s="13" t="s">
        <v>90</v>
      </c>
      <c r="G29" s="13" t="s">
        <v>463</v>
      </c>
      <c r="H29" s="13" t="s">
        <v>4</v>
      </c>
      <c r="I29" s="15">
        <v>0.5</v>
      </c>
      <c r="J29" s="16">
        <v>45135</v>
      </c>
      <c r="K29" s="17">
        <f t="shared" si="0"/>
        <v>45685</v>
      </c>
      <c r="L29" s="13" t="s">
        <v>464</v>
      </c>
      <c r="M29" s="17"/>
      <c r="N29" s="17"/>
      <c r="O29" s="13"/>
      <c r="P29" s="18"/>
      <c r="Q29" s="17"/>
      <c r="R29" s="13"/>
      <c r="S29" s="13" t="s">
        <v>502</v>
      </c>
      <c r="T29" s="13" t="s">
        <v>905</v>
      </c>
      <c r="U29" s="19">
        <v>4489120</v>
      </c>
      <c r="V29" s="20">
        <v>2693472</v>
      </c>
      <c r="W29" s="20">
        <v>448912</v>
      </c>
      <c r="X29" s="17">
        <v>45434</v>
      </c>
      <c r="Y29" s="13" t="s">
        <v>4</v>
      </c>
      <c r="Z29" s="13" t="s">
        <v>1258</v>
      </c>
      <c r="AA29" s="13" t="s">
        <v>1258</v>
      </c>
      <c r="AB29" s="13" t="s">
        <v>3</v>
      </c>
      <c r="AC29" s="13" t="s">
        <v>4</v>
      </c>
      <c r="AD29" s="13" t="s">
        <v>1259</v>
      </c>
      <c r="AE29" s="19">
        <v>1612653</v>
      </c>
      <c r="AF29" s="36">
        <v>967591.79999999993</v>
      </c>
    </row>
    <row r="30" spans="1:32" x14ac:dyDescent="0.35">
      <c r="A30" s="34">
        <v>41845461571</v>
      </c>
      <c r="B30" s="13" t="s">
        <v>1266</v>
      </c>
      <c r="C30" s="13">
        <v>82813507287</v>
      </c>
      <c r="D30" s="13" t="s">
        <v>42</v>
      </c>
      <c r="E30" s="67" t="s">
        <v>52</v>
      </c>
      <c r="F30" s="13" t="s">
        <v>91</v>
      </c>
      <c r="G30" s="13" t="s">
        <v>463</v>
      </c>
      <c r="H30" s="13" t="s">
        <v>4</v>
      </c>
      <c r="I30" s="15">
        <v>0.6</v>
      </c>
      <c r="J30" s="16">
        <v>44967</v>
      </c>
      <c r="K30" s="17">
        <f t="shared" si="0"/>
        <v>45514</v>
      </c>
      <c r="L30" s="13" t="s">
        <v>465</v>
      </c>
      <c r="M30" s="17">
        <v>45122</v>
      </c>
      <c r="N30" s="17">
        <v>45316</v>
      </c>
      <c r="O30" s="13" t="s">
        <v>470</v>
      </c>
      <c r="P30" s="18" t="s">
        <v>471</v>
      </c>
      <c r="Q30" s="17">
        <v>45492</v>
      </c>
      <c r="R30" s="13"/>
      <c r="S30" s="13" t="s">
        <v>503</v>
      </c>
      <c r="T30" s="13" t="s">
        <v>906</v>
      </c>
      <c r="U30" s="19">
        <v>1612653</v>
      </c>
      <c r="V30" s="20">
        <v>967591.79999999993</v>
      </c>
      <c r="W30" s="20">
        <v>161265.30000000002</v>
      </c>
      <c r="X30" s="17">
        <v>45354</v>
      </c>
      <c r="Y30" s="13" t="s">
        <v>4</v>
      </c>
      <c r="Z30" s="13" t="s">
        <v>1258</v>
      </c>
      <c r="AA30" s="13" t="s">
        <v>1258</v>
      </c>
      <c r="AB30" s="13" t="s">
        <v>4</v>
      </c>
      <c r="AC30" s="13" t="s">
        <v>4</v>
      </c>
      <c r="AD30" s="13" t="s">
        <v>1258</v>
      </c>
      <c r="AE30" s="19">
        <v>2319531</v>
      </c>
      <c r="AF30" s="36">
        <v>1391718.5999999999</v>
      </c>
    </row>
    <row r="31" spans="1:32" x14ac:dyDescent="0.35">
      <c r="A31" s="34">
        <v>47532003862</v>
      </c>
      <c r="B31" s="13" t="s">
        <v>1266</v>
      </c>
      <c r="C31" s="13">
        <v>67209129585</v>
      </c>
      <c r="D31" s="13" t="s">
        <v>47</v>
      </c>
      <c r="E31" s="67" t="s">
        <v>60</v>
      </c>
      <c r="F31" s="13" t="s">
        <v>92</v>
      </c>
      <c r="G31" s="13" t="s">
        <v>462</v>
      </c>
      <c r="H31" s="13" t="s">
        <v>3</v>
      </c>
      <c r="I31" s="15">
        <v>0.6</v>
      </c>
      <c r="J31" s="16">
        <v>45289</v>
      </c>
      <c r="K31" s="17">
        <f t="shared" si="0"/>
        <v>45837</v>
      </c>
      <c r="L31" s="13" t="s">
        <v>464</v>
      </c>
      <c r="M31" s="17"/>
      <c r="N31" s="17"/>
      <c r="O31" s="13"/>
      <c r="P31" s="18"/>
      <c r="Q31" s="17"/>
      <c r="R31" s="13"/>
      <c r="S31" s="13" t="s">
        <v>504</v>
      </c>
      <c r="T31" s="13" t="s">
        <v>907</v>
      </c>
      <c r="U31" s="19">
        <v>2319531</v>
      </c>
      <c r="V31" s="20">
        <v>1391718.5999999999</v>
      </c>
      <c r="W31" s="20">
        <v>231953.1</v>
      </c>
      <c r="X31" s="17">
        <v>45302</v>
      </c>
      <c r="Y31" s="13" t="s">
        <v>3</v>
      </c>
      <c r="Z31" s="13" t="s">
        <v>2</v>
      </c>
      <c r="AA31" s="13" t="s">
        <v>1258</v>
      </c>
      <c r="AB31" s="13" t="s">
        <v>4</v>
      </c>
      <c r="AC31" s="13" t="s">
        <v>3</v>
      </c>
      <c r="AD31" s="13" t="s">
        <v>1258</v>
      </c>
      <c r="AE31" s="19">
        <v>5512425</v>
      </c>
      <c r="AF31" s="36">
        <v>3307455</v>
      </c>
    </row>
    <row r="32" spans="1:32" x14ac:dyDescent="0.35">
      <c r="A32" s="34">
        <v>62956639508</v>
      </c>
      <c r="B32" s="13" t="s">
        <v>1266</v>
      </c>
      <c r="C32" s="13">
        <v>59712898638</v>
      </c>
      <c r="D32" s="13" t="s">
        <v>48</v>
      </c>
      <c r="E32" s="67" t="s">
        <v>51</v>
      </c>
      <c r="F32" s="13" t="s">
        <v>93</v>
      </c>
      <c r="G32" s="13" t="s">
        <v>462</v>
      </c>
      <c r="H32" s="13" t="s">
        <v>4</v>
      </c>
      <c r="I32" s="15">
        <v>0.7</v>
      </c>
      <c r="J32" s="16">
        <v>45182</v>
      </c>
      <c r="K32" s="17">
        <f t="shared" si="0"/>
        <v>45729</v>
      </c>
      <c r="L32" s="13" t="s">
        <v>464</v>
      </c>
      <c r="M32" s="17"/>
      <c r="N32" s="17"/>
      <c r="O32" s="13"/>
      <c r="P32" s="18"/>
      <c r="Q32" s="17"/>
      <c r="R32" s="13"/>
      <c r="S32" s="13" t="s">
        <v>505</v>
      </c>
      <c r="T32" s="13" t="s">
        <v>908</v>
      </c>
      <c r="U32" s="19">
        <v>5512425</v>
      </c>
      <c r="V32" s="20">
        <v>3307455</v>
      </c>
      <c r="W32" s="20">
        <v>551242.5</v>
      </c>
      <c r="X32" s="17">
        <v>45322</v>
      </c>
      <c r="Y32" s="13" t="s">
        <v>4</v>
      </c>
      <c r="Z32" s="13" t="s">
        <v>1258</v>
      </c>
      <c r="AA32" s="13" t="s">
        <v>1258</v>
      </c>
      <c r="AB32" s="13" t="s">
        <v>4</v>
      </c>
      <c r="AC32" s="13" t="s">
        <v>4</v>
      </c>
      <c r="AD32" s="13" t="s">
        <v>1259</v>
      </c>
      <c r="AE32" s="19">
        <v>8523548</v>
      </c>
      <c r="AF32" s="36">
        <v>5114128.8</v>
      </c>
    </row>
    <row r="33" spans="1:32" x14ac:dyDescent="0.35">
      <c r="A33" s="34">
        <v>77307468843</v>
      </c>
      <c r="B33" s="13" t="s">
        <v>1266</v>
      </c>
      <c r="C33" s="13">
        <v>47683229420</v>
      </c>
      <c r="D33" s="13" t="s">
        <v>50</v>
      </c>
      <c r="E33" s="67" t="s">
        <v>55</v>
      </c>
      <c r="F33" s="13" t="s">
        <v>94</v>
      </c>
      <c r="G33" s="13" t="s">
        <v>463</v>
      </c>
      <c r="H33" s="13" t="s">
        <v>4</v>
      </c>
      <c r="I33" s="15">
        <v>0.7</v>
      </c>
      <c r="J33" s="16">
        <v>44979</v>
      </c>
      <c r="K33" s="17">
        <f t="shared" si="0"/>
        <v>45526</v>
      </c>
      <c r="L33" s="13" t="s">
        <v>465</v>
      </c>
      <c r="M33" s="17">
        <v>45028</v>
      </c>
      <c r="N33" s="17">
        <v>45337</v>
      </c>
      <c r="O33" s="13" t="s">
        <v>470</v>
      </c>
      <c r="P33" s="18" t="s">
        <v>471</v>
      </c>
      <c r="Q33" s="17">
        <v>45310</v>
      </c>
      <c r="R33" s="13"/>
      <c r="S33" s="13" t="s">
        <v>506</v>
      </c>
      <c r="T33" s="13" t="s">
        <v>867</v>
      </c>
      <c r="U33" s="19">
        <v>8523548</v>
      </c>
      <c r="V33" s="20">
        <v>5114128.8</v>
      </c>
      <c r="W33" s="20">
        <v>852354.8</v>
      </c>
      <c r="X33" s="17">
        <v>45473</v>
      </c>
      <c r="Y33" s="13" t="s">
        <v>4</v>
      </c>
      <c r="Z33" s="13" t="s">
        <v>2</v>
      </c>
      <c r="AA33" s="13" t="s">
        <v>1258</v>
      </c>
      <c r="AB33" s="13" t="s">
        <v>3</v>
      </c>
      <c r="AC33" s="13" t="s">
        <v>4</v>
      </c>
      <c r="AD33" s="13" t="s">
        <v>1259</v>
      </c>
      <c r="AE33" s="19">
        <v>4637990</v>
      </c>
      <c r="AF33" s="36">
        <v>2782794</v>
      </c>
    </row>
    <row r="34" spans="1:32" x14ac:dyDescent="0.35">
      <c r="A34" s="34">
        <v>51462069779</v>
      </c>
      <c r="B34" s="13" t="s">
        <v>1266</v>
      </c>
      <c r="C34" s="13">
        <v>70428125422</v>
      </c>
      <c r="D34" s="13" t="s">
        <v>42</v>
      </c>
      <c r="E34" s="67" t="s">
        <v>51</v>
      </c>
      <c r="F34" s="13" t="s">
        <v>95</v>
      </c>
      <c r="G34" s="13" t="s">
        <v>462</v>
      </c>
      <c r="H34" s="13" t="s">
        <v>4</v>
      </c>
      <c r="I34" s="15">
        <v>0.6</v>
      </c>
      <c r="J34" s="16">
        <v>45036</v>
      </c>
      <c r="K34" s="17">
        <f t="shared" si="0"/>
        <v>45585</v>
      </c>
      <c r="L34" s="13" t="s">
        <v>465</v>
      </c>
      <c r="M34" s="17">
        <v>45256</v>
      </c>
      <c r="N34" s="17">
        <v>45366</v>
      </c>
      <c r="O34" s="13" t="s">
        <v>468</v>
      </c>
      <c r="P34" s="18" t="s">
        <v>469</v>
      </c>
      <c r="Q34" s="17">
        <v>45347</v>
      </c>
      <c r="R34" s="13"/>
      <c r="S34" s="13" t="s">
        <v>507</v>
      </c>
      <c r="T34" s="13" t="s">
        <v>909</v>
      </c>
      <c r="U34" s="19">
        <v>4637990</v>
      </c>
      <c r="V34" s="20">
        <v>2782794</v>
      </c>
      <c r="W34" s="20">
        <v>463799</v>
      </c>
      <c r="X34" s="17">
        <v>45464</v>
      </c>
      <c r="Y34" s="13" t="s">
        <v>4</v>
      </c>
      <c r="Z34" s="13" t="s">
        <v>1258</v>
      </c>
      <c r="AA34" s="13" t="s">
        <v>1258</v>
      </c>
      <c r="AB34" s="13" t="s">
        <v>3</v>
      </c>
      <c r="AC34" s="13" t="s">
        <v>4</v>
      </c>
      <c r="AD34" s="13" t="s">
        <v>1258</v>
      </c>
      <c r="AE34" s="19">
        <v>9695693</v>
      </c>
      <c r="AF34" s="36">
        <v>5817415.7999999998</v>
      </c>
    </row>
    <row r="35" spans="1:32" x14ac:dyDescent="0.35">
      <c r="A35" s="34">
        <v>42968701088</v>
      </c>
      <c r="B35" s="13" t="s">
        <v>1266</v>
      </c>
      <c r="C35" s="13">
        <v>82577958979</v>
      </c>
      <c r="D35" s="13" t="s">
        <v>48</v>
      </c>
      <c r="E35" s="67" t="s">
        <v>52</v>
      </c>
      <c r="F35" s="13" t="s">
        <v>96</v>
      </c>
      <c r="G35" s="13" t="s">
        <v>463</v>
      </c>
      <c r="H35" s="13" t="s">
        <v>3</v>
      </c>
      <c r="I35" s="15">
        <v>0.7</v>
      </c>
      <c r="J35" s="16">
        <v>45176</v>
      </c>
      <c r="K35" s="17">
        <f t="shared" si="0"/>
        <v>45723</v>
      </c>
      <c r="L35" s="13" t="s">
        <v>464</v>
      </c>
      <c r="M35" s="17"/>
      <c r="N35" s="17"/>
      <c r="O35" s="13"/>
      <c r="P35" s="18"/>
      <c r="Q35" s="17"/>
      <c r="R35" s="13"/>
      <c r="S35" s="13" t="s">
        <v>508</v>
      </c>
      <c r="T35" s="13" t="s">
        <v>910</v>
      </c>
      <c r="U35" s="19">
        <v>9695693</v>
      </c>
      <c r="V35" s="20">
        <v>5817415.7999999998</v>
      </c>
      <c r="W35" s="20">
        <v>969569.3</v>
      </c>
      <c r="X35" s="17">
        <v>45596</v>
      </c>
      <c r="Y35" s="13" t="s">
        <v>3</v>
      </c>
      <c r="Z35" s="13" t="s">
        <v>1258</v>
      </c>
      <c r="AA35" s="13" t="s">
        <v>1258</v>
      </c>
      <c r="AB35" s="13" t="s">
        <v>3</v>
      </c>
      <c r="AC35" s="13" t="s">
        <v>3</v>
      </c>
      <c r="AD35" s="13" t="s">
        <v>1259</v>
      </c>
      <c r="AE35" s="19">
        <v>6526961</v>
      </c>
      <c r="AF35" s="36">
        <v>3916176.5999999996</v>
      </c>
    </row>
    <row r="36" spans="1:32" x14ac:dyDescent="0.35">
      <c r="A36" s="34">
        <v>38113178690</v>
      </c>
      <c r="B36" s="13" t="s">
        <v>1266</v>
      </c>
      <c r="C36" s="13">
        <v>17295789700</v>
      </c>
      <c r="D36" s="13" t="s">
        <v>50</v>
      </c>
      <c r="E36" s="67" t="s">
        <v>58</v>
      </c>
      <c r="F36" s="13" t="s">
        <v>97</v>
      </c>
      <c r="G36" s="13" t="s">
        <v>463</v>
      </c>
      <c r="H36" s="13" t="s">
        <v>4</v>
      </c>
      <c r="I36" s="15">
        <v>0.6</v>
      </c>
      <c r="J36" s="16">
        <v>45248</v>
      </c>
      <c r="K36" s="17">
        <f t="shared" si="0"/>
        <v>45795</v>
      </c>
      <c r="L36" s="13" t="s">
        <v>464</v>
      </c>
      <c r="M36" s="17"/>
      <c r="N36" s="17"/>
      <c r="O36" s="13"/>
      <c r="P36" s="18"/>
      <c r="Q36" s="17"/>
      <c r="R36" s="13"/>
      <c r="S36" s="13" t="s">
        <v>509</v>
      </c>
      <c r="T36" s="13" t="s">
        <v>911</v>
      </c>
      <c r="U36" s="19">
        <v>6526961</v>
      </c>
      <c r="V36" s="20">
        <v>3916176.5999999996</v>
      </c>
      <c r="W36" s="20">
        <v>652696.10000000009</v>
      </c>
      <c r="X36" s="17">
        <v>45596</v>
      </c>
      <c r="Y36" s="13" t="s">
        <v>4</v>
      </c>
      <c r="Z36" s="13" t="s">
        <v>2</v>
      </c>
      <c r="AA36" s="13" t="s">
        <v>1258</v>
      </c>
      <c r="AB36" s="13" t="s">
        <v>4</v>
      </c>
      <c r="AC36" s="13" t="s">
        <v>4</v>
      </c>
      <c r="AD36" s="13" t="s">
        <v>1259</v>
      </c>
      <c r="AE36" s="19">
        <v>2619427</v>
      </c>
      <c r="AF36" s="36">
        <v>1571656.2</v>
      </c>
    </row>
    <row r="37" spans="1:32" x14ac:dyDescent="0.35">
      <c r="A37" s="34">
        <v>86351886123</v>
      </c>
      <c r="B37" s="13" t="s">
        <v>1266</v>
      </c>
      <c r="C37" s="13">
        <v>25653858519</v>
      </c>
      <c r="D37" s="13" t="s">
        <v>49</v>
      </c>
      <c r="E37" s="67" t="s">
        <v>60</v>
      </c>
      <c r="F37" s="13" t="s">
        <v>98</v>
      </c>
      <c r="G37" s="13" t="s">
        <v>463</v>
      </c>
      <c r="H37" s="13" t="s">
        <v>3</v>
      </c>
      <c r="I37" s="15">
        <v>0.5</v>
      </c>
      <c r="J37" s="16">
        <v>44966</v>
      </c>
      <c r="K37" s="17">
        <f t="shared" si="0"/>
        <v>45513</v>
      </c>
      <c r="L37" s="13" t="s">
        <v>465</v>
      </c>
      <c r="M37" s="17">
        <v>44990</v>
      </c>
      <c r="N37" s="17">
        <v>45052</v>
      </c>
      <c r="O37" s="13" t="s">
        <v>470</v>
      </c>
      <c r="P37" s="18" t="s">
        <v>469</v>
      </c>
      <c r="Q37" s="17">
        <v>45431</v>
      </c>
      <c r="R37" s="13"/>
      <c r="S37" s="13" t="s">
        <v>510</v>
      </c>
      <c r="T37" s="13" t="s">
        <v>912</v>
      </c>
      <c r="U37" s="19">
        <v>2619427</v>
      </c>
      <c r="V37" s="20">
        <v>1571656.2</v>
      </c>
      <c r="W37" s="20">
        <v>261942.7</v>
      </c>
      <c r="X37" s="17">
        <v>45448</v>
      </c>
      <c r="Y37" s="13" t="s">
        <v>3</v>
      </c>
      <c r="Z37" s="13" t="s">
        <v>2</v>
      </c>
      <c r="AA37" s="13" t="s">
        <v>1258</v>
      </c>
      <c r="AB37" s="13" t="s">
        <v>3</v>
      </c>
      <c r="AC37" s="13" t="s">
        <v>3</v>
      </c>
      <c r="AD37" s="13" t="s">
        <v>1258</v>
      </c>
      <c r="AE37" s="19">
        <v>5102501</v>
      </c>
      <c r="AF37" s="36">
        <v>3061500.6</v>
      </c>
    </row>
    <row r="38" spans="1:32" x14ac:dyDescent="0.35">
      <c r="A38" s="34">
        <v>61708540312</v>
      </c>
      <c r="B38" s="13" t="s">
        <v>1266</v>
      </c>
      <c r="C38" s="13">
        <v>99922940371</v>
      </c>
      <c r="D38" s="13" t="s">
        <v>49</v>
      </c>
      <c r="E38" s="67" t="s">
        <v>60</v>
      </c>
      <c r="F38" s="13" t="s">
        <v>99</v>
      </c>
      <c r="G38" s="13" t="s">
        <v>463</v>
      </c>
      <c r="H38" s="13" t="s">
        <v>3</v>
      </c>
      <c r="I38" s="15">
        <v>0.6</v>
      </c>
      <c r="J38" s="16">
        <v>45121</v>
      </c>
      <c r="K38" s="17">
        <f t="shared" si="0"/>
        <v>45671</v>
      </c>
      <c r="L38" s="13" t="s">
        <v>465</v>
      </c>
      <c r="M38" s="17">
        <v>45249</v>
      </c>
      <c r="N38" s="17">
        <v>45158</v>
      </c>
      <c r="O38" s="13" t="s">
        <v>468</v>
      </c>
      <c r="P38" s="18" t="s">
        <v>471</v>
      </c>
      <c r="Q38" s="17">
        <v>45531</v>
      </c>
      <c r="R38" s="13"/>
      <c r="S38" s="13" t="s">
        <v>511</v>
      </c>
      <c r="T38" s="13" t="s">
        <v>913</v>
      </c>
      <c r="U38" s="19">
        <v>5102501</v>
      </c>
      <c r="V38" s="20">
        <v>3061500.6</v>
      </c>
      <c r="W38" s="20">
        <v>510250.10000000003</v>
      </c>
      <c r="X38" s="17">
        <v>45303</v>
      </c>
      <c r="Y38" s="13" t="s">
        <v>3</v>
      </c>
      <c r="Z38" s="13" t="s">
        <v>2</v>
      </c>
      <c r="AA38" s="13" t="s">
        <v>1258</v>
      </c>
      <c r="AB38" s="13" t="s">
        <v>3</v>
      </c>
      <c r="AC38" s="13" t="s">
        <v>3</v>
      </c>
      <c r="AD38" s="13" t="s">
        <v>1258</v>
      </c>
      <c r="AE38" s="19">
        <v>4366266</v>
      </c>
      <c r="AF38" s="36">
        <v>2619759.6</v>
      </c>
    </row>
    <row r="39" spans="1:32" x14ac:dyDescent="0.35">
      <c r="A39" s="34">
        <v>45813285169</v>
      </c>
      <c r="B39" s="13" t="s">
        <v>1266</v>
      </c>
      <c r="C39" s="13">
        <v>95917104490</v>
      </c>
      <c r="D39" s="13" t="s">
        <v>41</v>
      </c>
      <c r="E39" s="67" t="s">
        <v>58</v>
      </c>
      <c r="F39" s="13" t="s">
        <v>100</v>
      </c>
      <c r="G39" s="13" t="s">
        <v>463</v>
      </c>
      <c r="H39" s="13" t="s">
        <v>4</v>
      </c>
      <c r="I39" s="15">
        <v>0.5</v>
      </c>
      <c r="J39" s="16">
        <v>45151</v>
      </c>
      <c r="K39" s="17">
        <f t="shared" si="0"/>
        <v>45701</v>
      </c>
      <c r="L39" s="13" t="s">
        <v>465</v>
      </c>
      <c r="M39" s="17">
        <v>45255</v>
      </c>
      <c r="N39" s="17">
        <v>45445</v>
      </c>
      <c r="O39" s="13" t="s">
        <v>470</v>
      </c>
      <c r="P39" s="18" t="s">
        <v>469</v>
      </c>
      <c r="Q39" s="17">
        <v>45430</v>
      </c>
      <c r="R39" s="13"/>
      <c r="S39" s="13" t="s">
        <v>512</v>
      </c>
      <c r="T39" s="13" t="s">
        <v>914</v>
      </c>
      <c r="U39" s="19">
        <v>4366266</v>
      </c>
      <c r="V39" s="20">
        <v>2619759.6</v>
      </c>
      <c r="W39" s="20">
        <v>436626.60000000003</v>
      </c>
      <c r="X39" s="17">
        <v>45490</v>
      </c>
      <c r="Y39" s="13" t="s">
        <v>4</v>
      </c>
      <c r="Z39" s="13" t="s">
        <v>1258</v>
      </c>
      <c r="AA39" s="13" t="s">
        <v>1258</v>
      </c>
      <c r="AB39" s="13" t="s">
        <v>3</v>
      </c>
      <c r="AC39" s="13" t="s">
        <v>4</v>
      </c>
      <c r="AD39" s="13" t="s">
        <v>1258</v>
      </c>
      <c r="AE39" s="19">
        <v>4906438</v>
      </c>
      <c r="AF39" s="36">
        <v>2943862.8</v>
      </c>
    </row>
    <row r="40" spans="1:32" x14ac:dyDescent="0.35">
      <c r="A40" s="34">
        <v>16262046832</v>
      </c>
      <c r="B40" s="13" t="s">
        <v>1266</v>
      </c>
      <c r="C40" s="13">
        <v>31672884824</v>
      </c>
      <c r="D40" s="13" t="s">
        <v>50</v>
      </c>
      <c r="E40" s="67" t="s">
        <v>53</v>
      </c>
      <c r="F40" s="13" t="s">
        <v>101</v>
      </c>
      <c r="G40" s="13" t="s">
        <v>462</v>
      </c>
      <c r="H40" s="13" t="s">
        <v>4</v>
      </c>
      <c r="I40" s="15">
        <v>0.6</v>
      </c>
      <c r="J40" s="16">
        <v>45287</v>
      </c>
      <c r="K40" s="17">
        <f t="shared" si="0"/>
        <v>45835</v>
      </c>
      <c r="L40" s="13" t="s">
        <v>465</v>
      </c>
      <c r="M40" s="17">
        <v>45066</v>
      </c>
      <c r="N40" s="17">
        <v>45301</v>
      </c>
      <c r="O40" s="13" t="s">
        <v>468</v>
      </c>
      <c r="P40" s="18" t="s">
        <v>469</v>
      </c>
      <c r="Q40" s="17">
        <v>45455</v>
      </c>
      <c r="R40" s="13"/>
      <c r="S40" s="13" t="s">
        <v>513</v>
      </c>
      <c r="T40" s="13" t="s">
        <v>915</v>
      </c>
      <c r="U40" s="19">
        <v>4906438</v>
      </c>
      <c r="V40" s="20">
        <v>2943862.8</v>
      </c>
      <c r="W40" s="20">
        <v>490643.80000000005</v>
      </c>
      <c r="X40" s="17">
        <v>45421</v>
      </c>
      <c r="Y40" s="13" t="s">
        <v>4</v>
      </c>
      <c r="Z40" s="13" t="s">
        <v>2</v>
      </c>
      <c r="AA40" s="13" t="s">
        <v>1258</v>
      </c>
      <c r="AB40" s="13" t="s">
        <v>4</v>
      </c>
      <c r="AC40" s="13" t="s">
        <v>4</v>
      </c>
      <c r="AD40" s="13" t="s">
        <v>1258</v>
      </c>
      <c r="AE40" s="19">
        <v>8150931</v>
      </c>
      <c r="AF40" s="36">
        <v>4890558.5999999996</v>
      </c>
    </row>
    <row r="41" spans="1:32" x14ac:dyDescent="0.35">
      <c r="A41" s="34">
        <v>69095649615</v>
      </c>
      <c r="B41" s="13" t="s">
        <v>1266</v>
      </c>
      <c r="C41" s="13">
        <v>20682873885</v>
      </c>
      <c r="D41" s="13" t="s">
        <v>42</v>
      </c>
      <c r="E41" s="67" t="s">
        <v>59</v>
      </c>
      <c r="F41" s="13" t="s">
        <v>102</v>
      </c>
      <c r="G41" s="13" t="s">
        <v>462</v>
      </c>
      <c r="H41" s="13" t="s">
        <v>3</v>
      </c>
      <c r="I41" s="15">
        <v>0.6</v>
      </c>
      <c r="J41" s="16">
        <v>44987</v>
      </c>
      <c r="K41" s="17">
        <f t="shared" si="0"/>
        <v>45537</v>
      </c>
      <c r="L41" s="13" t="s">
        <v>464</v>
      </c>
      <c r="M41" s="17"/>
      <c r="N41" s="17"/>
      <c r="O41" s="13"/>
      <c r="P41" s="18"/>
      <c r="Q41" s="17"/>
      <c r="R41" s="13"/>
      <c r="S41" s="13" t="s">
        <v>514</v>
      </c>
      <c r="T41" s="13" t="s">
        <v>916</v>
      </c>
      <c r="U41" s="19">
        <v>8150931</v>
      </c>
      <c r="V41" s="20">
        <v>4890558.5999999996</v>
      </c>
      <c r="W41" s="20">
        <v>815093.10000000009</v>
      </c>
      <c r="X41" s="17">
        <v>45416</v>
      </c>
      <c r="Y41" s="13" t="s">
        <v>3</v>
      </c>
      <c r="Z41" s="13" t="s">
        <v>1258</v>
      </c>
      <c r="AA41" s="13" t="s">
        <v>1258</v>
      </c>
      <c r="AB41" s="13" t="s">
        <v>4</v>
      </c>
      <c r="AC41" s="13" t="s">
        <v>3</v>
      </c>
      <c r="AD41" s="13" t="s">
        <v>1258</v>
      </c>
      <c r="AE41" s="19">
        <v>8078270</v>
      </c>
      <c r="AF41" s="36">
        <v>4846962</v>
      </c>
    </row>
    <row r="42" spans="1:32" x14ac:dyDescent="0.35">
      <c r="A42" s="34">
        <v>37131033372</v>
      </c>
      <c r="B42" s="13" t="s">
        <v>1266</v>
      </c>
      <c r="C42" s="13">
        <v>51348101339</v>
      </c>
      <c r="D42" s="13" t="s">
        <v>48</v>
      </c>
      <c r="E42" s="67" t="s">
        <v>52</v>
      </c>
      <c r="F42" s="13" t="s">
        <v>103</v>
      </c>
      <c r="G42" s="13" t="s">
        <v>462</v>
      </c>
      <c r="H42" s="13" t="s">
        <v>4</v>
      </c>
      <c r="I42" s="15">
        <v>0.7</v>
      </c>
      <c r="J42" s="16">
        <v>45062</v>
      </c>
      <c r="K42" s="17">
        <f t="shared" si="0"/>
        <v>45612</v>
      </c>
      <c r="L42" s="13" t="s">
        <v>464</v>
      </c>
      <c r="M42" s="17"/>
      <c r="N42" s="17"/>
      <c r="O42" s="13"/>
      <c r="P42" s="18"/>
      <c r="Q42" s="17"/>
      <c r="R42" s="13"/>
      <c r="S42" s="13" t="s">
        <v>515</v>
      </c>
      <c r="T42" s="13" t="s">
        <v>917</v>
      </c>
      <c r="U42" s="19">
        <v>8078270</v>
      </c>
      <c r="V42" s="20">
        <v>4846962</v>
      </c>
      <c r="W42" s="20">
        <v>807827</v>
      </c>
      <c r="X42" s="17">
        <v>45547</v>
      </c>
      <c r="Y42" s="13" t="s">
        <v>4</v>
      </c>
      <c r="Z42" s="13" t="s">
        <v>1258</v>
      </c>
      <c r="AA42" s="13" t="s">
        <v>1258</v>
      </c>
      <c r="AB42" s="13" t="s">
        <v>4</v>
      </c>
      <c r="AC42" s="13" t="s">
        <v>4</v>
      </c>
      <c r="AD42" s="13" t="s">
        <v>1259</v>
      </c>
      <c r="AE42" s="19">
        <v>6253195</v>
      </c>
      <c r="AF42" s="36">
        <v>3751917</v>
      </c>
    </row>
    <row r="43" spans="1:32" x14ac:dyDescent="0.35">
      <c r="A43" s="34">
        <v>26418056025</v>
      </c>
      <c r="B43" s="13" t="s">
        <v>1266</v>
      </c>
      <c r="C43" s="13">
        <v>92157421917</v>
      </c>
      <c r="D43" s="13" t="s">
        <v>50</v>
      </c>
      <c r="E43" s="67" t="s">
        <v>51</v>
      </c>
      <c r="F43" s="13" t="s">
        <v>104</v>
      </c>
      <c r="G43" s="13" t="s">
        <v>462</v>
      </c>
      <c r="H43" s="13" t="s">
        <v>4</v>
      </c>
      <c r="I43" s="15">
        <v>0.6</v>
      </c>
      <c r="J43" s="16">
        <v>45151</v>
      </c>
      <c r="K43" s="17">
        <f t="shared" si="0"/>
        <v>45701</v>
      </c>
      <c r="L43" s="13" t="s">
        <v>465</v>
      </c>
      <c r="M43" s="17">
        <v>44962</v>
      </c>
      <c r="N43" s="17">
        <v>45232</v>
      </c>
      <c r="O43" s="13" t="s">
        <v>470</v>
      </c>
      <c r="P43" s="18" t="s">
        <v>471</v>
      </c>
      <c r="Q43" s="17">
        <v>45599</v>
      </c>
      <c r="R43" s="13"/>
      <c r="S43" s="13" t="s">
        <v>472</v>
      </c>
      <c r="T43" s="13" t="s">
        <v>918</v>
      </c>
      <c r="U43" s="19">
        <v>6253195</v>
      </c>
      <c r="V43" s="20">
        <v>3751917</v>
      </c>
      <c r="W43" s="20">
        <v>625319.5</v>
      </c>
      <c r="X43" s="17">
        <v>45372</v>
      </c>
      <c r="Y43" s="13" t="s">
        <v>4</v>
      </c>
      <c r="Z43" s="13" t="s">
        <v>2</v>
      </c>
      <c r="AA43" s="13" t="s">
        <v>1258</v>
      </c>
      <c r="AB43" s="13" t="s">
        <v>3</v>
      </c>
      <c r="AC43" s="13" t="s">
        <v>4</v>
      </c>
      <c r="AD43" s="13" t="s">
        <v>1258</v>
      </c>
      <c r="AE43" s="19">
        <v>4977712</v>
      </c>
      <c r="AF43" s="36">
        <v>2986627.1999999997</v>
      </c>
    </row>
    <row r="44" spans="1:32" x14ac:dyDescent="0.35">
      <c r="A44" s="34">
        <v>15815498493</v>
      </c>
      <c r="B44" s="13" t="s">
        <v>1266</v>
      </c>
      <c r="C44" s="13">
        <v>45140727688</v>
      </c>
      <c r="D44" s="13" t="s">
        <v>50</v>
      </c>
      <c r="E44" s="67" t="s">
        <v>59</v>
      </c>
      <c r="F44" s="13" t="s">
        <v>105</v>
      </c>
      <c r="G44" s="13" t="s">
        <v>462</v>
      </c>
      <c r="H44" s="13" t="s">
        <v>3</v>
      </c>
      <c r="I44" s="15">
        <v>0.5</v>
      </c>
      <c r="J44" s="16">
        <v>44962</v>
      </c>
      <c r="K44" s="17">
        <f t="shared" si="0"/>
        <v>45509</v>
      </c>
      <c r="L44" s="13" t="s">
        <v>465</v>
      </c>
      <c r="M44" s="17">
        <v>45048</v>
      </c>
      <c r="N44" s="17">
        <v>45228</v>
      </c>
      <c r="O44" s="13" t="s">
        <v>468</v>
      </c>
      <c r="P44" s="18" t="s">
        <v>471</v>
      </c>
      <c r="Q44" s="17">
        <v>45435</v>
      </c>
      <c r="R44" s="13"/>
      <c r="S44" s="13" t="s">
        <v>475</v>
      </c>
      <c r="T44" s="13" t="s">
        <v>919</v>
      </c>
      <c r="U44" s="19">
        <v>4977712</v>
      </c>
      <c r="V44" s="20">
        <v>2986627.1999999997</v>
      </c>
      <c r="W44" s="20">
        <v>497771.2</v>
      </c>
      <c r="X44" s="17">
        <v>45352</v>
      </c>
      <c r="Y44" s="13" t="s">
        <v>3</v>
      </c>
      <c r="Z44" s="13" t="s">
        <v>2</v>
      </c>
      <c r="AA44" s="13" t="s">
        <v>1258</v>
      </c>
      <c r="AB44" s="13" t="s">
        <v>3</v>
      </c>
      <c r="AC44" s="13" t="s">
        <v>3</v>
      </c>
      <c r="AD44" s="13" t="s">
        <v>1259</v>
      </c>
      <c r="AE44" s="19">
        <v>7119667</v>
      </c>
      <c r="AF44" s="36">
        <v>4271800.2</v>
      </c>
    </row>
    <row r="45" spans="1:32" x14ac:dyDescent="0.35">
      <c r="A45" s="34">
        <v>28521293168</v>
      </c>
      <c r="B45" s="13" t="s">
        <v>1266</v>
      </c>
      <c r="C45" s="13">
        <v>93478033736</v>
      </c>
      <c r="D45" s="13" t="s">
        <v>42</v>
      </c>
      <c r="E45" s="67" t="s">
        <v>51</v>
      </c>
      <c r="F45" s="13" t="s">
        <v>106</v>
      </c>
      <c r="G45" s="13" t="s">
        <v>463</v>
      </c>
      <c r="H45" s="13" t="s">
        <v>4</v>
      </c>
      <c r="I45" s="15">
        <v>0.6</v>
      </c>
      <c r="J45" s="16">
        <v>45099</v>
      </c>
      <c r="K45" s="17">
        <f t="shared" si="0"/>
        <v>45648</v>
      </c>
      <c r="L45" s="13" t="s">
        <v>464</v>
      </c>
      <c r="M45" s="17"/>
      <c r="N45" s="17"/>
      <c r="O45" s="13"/>
      <c r="P45" s="18"/>
      <c r="Q45" s="17"/>
      <c r="R45" s="13"/>
      <c r="S45" s="13" t="s">
        <v>516</v>
      </c>
      <c r="T45" s="13" t="s">
        <v>920</v>
      </c>
      <c r="U45" s="19">
        <v>7119667</v>
      </c>
      <c r="V45" s="20">
        <v>4271800.2</v>
      </c>
      <c r="W45" s="20">
        <v>711966.70000000007</v>
      </c>
      <c r="X45" s="17">
        <v>45436</v>
      </c>
      <c r="Y45" s="13" t="s">
        <v>4</v>
      </c>
      <c r="Z45" s="13" t="s">
        <v>1258</v>
      </c>
      <c r="AA45" s="13" t="s">
        <v>1258</v>
      </c>
      <c r="AB45" s="13" t="s">
        <v>4</v>
      </c>
      <c r="AC45" s="13" t="s">
        <v>4</v>
      </c>
      <c r="AD45" s="13" t="s">
        <v>1259</v>
      </c>
      <c r="AE45" s="19">
        <v>2575947</v>
      </c>
      <c r="AF45" s="36">
        <v>1545568.2</v>
      </c>
    </row>
    <row r="46" spans="1:32" x14ac:dyDescent="0.35">
      <c r="A46" s="34">
        <v>90591309031</v>
      </c>
      <c r="B46" s="13" t="s">
        <v>1266</v>
      </c>
      <c r="C46" s="13">
        <v>80039511737</v>
      </c>
      <c r="D46" s="13" t="s">
        <v>48</v>
      </c>
      <c r="E46" s="67" t="s">
        <v>51</v>
      </c>
      <c r="F46" s="13" t="s">
        <v>107</v>
      </c>
      <c r="G46" s="13" t="s">
        <v>463</v>
      </c>
      <c r="H46" s="13" t="s">
        <v>4</v>
      </c>
      <c r="I46" s="15">
        <v>0.6</v>
      </c>
      <c r="J46" s="16">
        <v>45225</v>
      </c>
      <c r="K46" s="17">
        <f t="shared" si="0"/>
        <v>45773</v>
      </c>
      <c r="L46" s="13" t="s">
        <v>465</v>
      </c>
      <c r="M46" s="17">
        <v>45061</v>
      </c>
      <c r="N46" s="17">
        <v>45550</v>
      </c>
      <c r="O46" s="13" t="s">
        <v>468</v>
      </c>
      <c r="P46" s="18" t="s">
        <v>469</v>
      </c>
      <c r="Q46" s="17">
        <v>45625</v>
      </c>
      <c r="R46" s="13"/>
      <c r="S46" s="13" t="s">
        <v>517</v>
      </c>
      <c r="T46" s="13" t="s">
        <v>921</v>
      </c>
      <c r="U46" s="19">
        <v>2575947</v>
      </c>
      <c r="V46" s="20">
        <v>1545568.2</v>
      </c>
      <c r="W46" s="20">
        <v>257594.7</v>
      </c>
      <c r="X46" s="17">
        <v>45466</v>
      </c>
      <c r="Y46" s="13" t="s">
        <v>4</v>
      </c>
      <c r="Z46" s="13" t="s">
        <v>1258</v>
      </c>
      <c r="AA46" s="13" t="s">
        <v>1258</v>
      </c>
      <c r="AB46" s="13" t="s">
        <v>3</v>
      </c>
      <c r="AC46" s="13" t="s">
        <v>4</v>
      </c>
      <c r="AD46" s="13" t="s">
        <v>1258</v>
      </c>
      <c r="AE46" s="19">
        <v>8182811</v>
      </c>
      <c r="AF46" s="36">
        <v>4909686.5999999996</v>
      </c>
    </row>
    <row r="47" spans="1:32" x14ac:dyDescent="0.35">
      <c r="A47" s="34">
        <v>95632908285</v>
      </c>
      <c r="B47" s="13" t="s">
        <v>1266</v>
      </c>
      <c r="C47" s="13">
        <v>75332474868</v>
      </c>
      <c r="D47" s="13" t="s">
        <v>50</v>
      </c>
      <c r="E47" s="67" t="s">
        <v>54</v>
      </c>
      <c r="F47" s="13" t="s">
        <v>108</v>
      </c>
      <c r="G47" s="13" t="s">
        <v>462</v>
      </c>
      <c r="H47" s="13" t="s">
        <v>4</v>
      </c>
      <c r="I47" s="15">
        <v>0.5</v>
      </c>
      <c r="J47" s="16">
        <v>44958</v>
      </c>
      <c r="K47" s="17">
        <f t="shared" si="0"/>
        <v>45505</v>
      </c>
      <c r="L47" s="13" t="s">
        <v>464</v>
      </c>
      <c r="M47" s="17"/>
      <c r="N47" s="17"/>
      <c r="O47" s="13"/>
      <c r="P47" s="18"/>
      <c r="Q47" s="17"/>
      <c r="R47" s="13"/>
      <c r="S47" s="13" t="s">
        <v>518</v>
      </c>
      <c r="T47" s="13" t="s">
        <v>922</v>
      </c>
      <c r="U47" s="19">
        <v>8182811</v>
      </c>
      <c r="V47" s="20">
        <v>4909686.5999999996</v>
      </c>
      <c r="W47" s="20">
        <v>818281.10000000009</v>
      </c>
      <c r="X47" s="17">
        <v>45399</v>
      </c>
      <c r="Y47" s="13" t="s">
        <v>4</v>
      </c>
      <c r="Z47" s="13" t="s">
        <v>1258</v>
      </c>
      <c r="AA47" s="13" t="s">
        <v>1258</v>
      </c>
      <c r="AB47" s="13" t="s">
        <v>3</v>
      </c>
      <c r="AC47" s="13" t="s">
        <v>4</v>
      </c>
      <c r="AD47" s="13" t="s">
        <v>1258</v>
      </c>
      <c r="AE47" s="19">
        <v>3362193</v>
      </c>
      <c r="AF47" s="36">
        <v>2017315.7999999998</v>
      </c>
    </row>
    <row r="48" spans="1:32" x14ac:dyDescent="0.35">
      <c r="A48" s="34">
        <v>75786180839</v>
      </c>
      <c r="B48" s="13" t="s">
        <v>1266</v>
      </c>
      <c r="C48" s="13">
        <v>96212330780</v>
      </c>
      <c r="D48" s="13" t="s">
        <v>45</v>
      </c>
      <c r="E48" s="67" t="s">
        <v>51</v>
      </c>
      <c r="F48" s="13" t="s">
        <v>109</v>
      </c>
      <c r="G48" s="13" t="s">
        <v>463</v>
      </c>
      <c r="H48" s="13" t="s">
        <v>3</v>
      </c>
      <c r="I48" s="15">
        <v>0.6</v>
      </c>
      <c r="J48" s="16">
        <v>45087</v>
      </c>
      <c r="K48" s="17">
        <f t="shared" si="0"/>
        <v>45636</v>
      </c>
      <c r="L48" s="13" t="s">
        <v>465</v>
      </c>
      <c r="M48" s="17">
        <v>45003</v>
      </c>
      <c r="N48" s="17">
        <v>45252</v>
      </c>
      <c r="O48" s="13" t="s">
        <v>470</v>
      </c>
      <c r="P48" s="18" t="s">
        <v>471</v>
      </c>
      <c r="Q48" s="17">
        <v>45414</v>
      </c>
      <c r="R48" s="13"/>
      <c r="S48" s="13" t="s">
        <v>519</v>
      </c>
      <c r="T48" s="13" t="s">
        <v>871</v>
      </c>
      <c r="U48" s="19">
        <v>3362193</v>
      </c>
      <c r="V48" s="20">
        <v>2017315.7999999998</v>
      </c>
      <c r="W48" s="20">
        <v>336219.30000000005</v>
      </c>
      <c r="X48" s="17">
        <v>45605</v>
      </c>
      <c r="Y48" s="13" t="s">
        <v>3</v>
      </c>
      <c r="Z48" s="13" t="s">
        <v>2</v>
      </c>
      <c r="AA48" s="13" t="s">
        <v>1258</v>
      </c>
      <c r="AB48" s="13" t="s">
        <v>4</v>
      </c>
      <c r="AC48" s="13" t="s">
        <v>3</v>
      </c>
      <c r="AD48" s="13" t="s">
        <v>1259</v>
      </c>
      <c r="AE48" s="19">
        <v>8852328</v>
      </c>
      <c r="AF48" s="36">
        <v>5311396.8</v>
      </c>
    </row>
    <row r="49" spans="1:32" x14ac:dyDescent="0.35">
      <c r="A49" s="34">
        <v>10612911420</v>
      </c>
      <c r="B49" s="13" t="s">
        <v>1266</v>
      </c>
      <c r="C49" s="13">
        <v>68212426013</v>
      </c>
      <c r="D49" s="13" t="s">
        <v>50</v>
      </c>
      <c r="E49" s="67" t="s">
        <v>59</v>
      </c>
      <c r="F49" s="13" t="s">
        <v>110</v>
      </c>
      <c r="G49" s="13" t="s">
        <v>463</v>
      </c>
      <c r="H49" s="13" t="s">
        <v>4</v>
      </c>
      <c r="I49" s="15">
        <v>0.6</v>
      </c>
      <c r="J49" s="16">
        <v>44954</v>
      </c>
      <c r="K49" s="17">
        <f t="shared" si="0"/>
        <v>45501</v>
      </c>
      <c r="L49" s="13" t="s">
        <v>464</v>
      </c>
      <c r="M49" s="17"/>
      <c r="N49" s="17"/>
      <c r="O49" s="13"/>
      <c r="P49" s="18"/>
      <c r="Q49" s="17"/>
      <c r="R49" s="13"/>
      <c r="S49" s="13" t="s">
        <v>520</v>
      </c>
      <c r="T49" s="13" t="s">
        <v>923</v>
      </c>
      <c r="U49" s="19">
        <v>8852328</v>
      </c>
      <c r="V49" s="20">
        <v>5311396.8</v>
      </c>
      <c r="W49" s="20">
        <v>885232.8</v>
      </c>
      <c r="X49" s="17">
        <v>45362</v>
      </c>
      <c r="Y49" s="13" t="s">
        <v>4</v>
      </c>
      <c r="Z49" s="13" t="s">
        <v>1258</v>
      </c>
      <c r="AA49" s="13" t="s">
        <v>1258</v>
      </c>
      <c r="AB49" s="13" t="s">
        <v>3</v>
      </c>
      <c r="AC49" s="13" t="s">
        <v>4</v>
      </c>
      <c r="AD49" s="13" t="s">
        <v>1258</v>
      </c>
      <c r="AE49" s="19">
        <v>2481595</v>
      </c>
      <c r="AF49" s="36">
        <v>1488957</v>
      </c>
    </row>
    <row r="50" spans="1:32" x14ac:dyDescent="0.35">
      <c r="A50" s="34">
        <v>63334642791</v>
      </c>
      <c r="B50" s="13" t="s">
        <v>1266</v>
      </c>
      <c r="C50" s="13">
        <v>24940005998</v>
      </c>
      <c r="D50" s="13" t="s">
        <v>41</v>
      </c>
      <c r="E50" s="67" t="s">
        <v>55</v>
      </c>
      <c r="F50" s="13" t="s">
        <v>111</v>
      </c>
      <c r="G50" s="13" t="s">
        <v>462</v>
      </c>
      <c r="H50" s="13" t="s">
        <v>3</v>
      </c>
      <c r="I50" s="15">
        <v>0.6</v>
      </c>
      <c r="J50" s="16">
        <v>45169</v>
      </c>
      <c r="K50" s="17">
        <f t="shared" si="0"/>
        <v>45716</v>
      </c>
      <c r="L50" s="13" t="s">
        <v>465</v>
      </c>
      <c r="M50" s="17">
        <v>45235</v>
      </c>
      <c r="N50" s="17">
        <v>45187</v>
      </c>
      <c r="O50" s="13" t="s">
        <v>470</v>
      </c>
      <c r="P50" s="18" t="s">
        <v>471</v>
      </c>
      <c r="Q50" s="17">
        <v>45332</v>
      </c>
      <c r="R50" s="13"/>
      <c r="S50" s="13" t="s">
        <v>521</v>
      </c>
      <c r="T50" s="13" t="s">
        <v>924</v>
      </c>
      <c r="U50" s="19">
        <v>2481595</v>
      </c>
      <c r="V50" s="20">
        <v>1488957</v>
      </c>
      <c r="W50" s="20">
        <v>248159.5</v>
      </c>
      <c r="X50" s="17">
        <v>45481</v>
      </c>
      <c r="Y50" s="13" t="s">
        <v>3</v>
      </c>
      <c r="Z50" s="13" t="s">
        <v>1258</v>
      </c>
      <c r="AA50" s="13" t="s">
        <v>1258</v>
      </c>
      <c r="AB50" s="13" t="s">
        <v>3</v>
      </c>
      <c r="AC50" s="13" t="s">
        <v>3</v>
      </c>
      <c r="AD50" s="13" t="s">
        <v>1258</v>
      </c>
      <c r="AE50" s="19">
        <v>9393744</v>
      </c>
      <c r="AF50" s="36">
        <v>5636246.3999999994</v>
      </c>
    </row>
    <row r="51" spans="1:32" x14ac:dyDescent="0.35">
      <c r="A51" s="34">
        <v>29545686459</v>
      </c>
      <c r="B51" s="13" t="s">
        <v>1266</v>
      </c>
      <c r="C51" s="13">
        <v>44408277034</v>
      </c>
      <c r="D51" s="13" t="s">
        <v>48</v>
      </c>
      <c r="E51" s="67" t="s">
        <v>58</v>
      </c>
      <c r="F51" s="13" t="s">
        <v>112</v>
      </c>
      <c r="G51" s="13" t="s">
        <v>463</v>
      </c>
      <c r="H51" s="13" t="s">
        <v>4</v>
      </c>
      <c r="I51" s="15">
        <v>0.6</v>
      </c>
      <c r="J51" s="16">
        <v>45108</v>
      </c>
      <c r="K51" s="17">
        <f t="shared" si="0"/>
        <v>45658</v>
      </c>
      <c r="L51" s="13" t="s">
        <v>465</v>
      </c>
      <c r="M51" s="17">
        <v>44998</v>
      </c>
      <c r="N51" s="17">
        <v>45395</v>
      </c>
      <c r="O51" s="13" t="s">
        <v>470</v>
      </c>
      <c r="P51" s="18" t="s">
        <v>471</v>
      </c>
      <c r="Q51" s="17">
        <v>45579</v>
      </c>
      <c r="R51" s="13"/>
      <c r="S51" s="13" t="s">
        <v>522</v>
      </c>
      <c r="T51" s="13" t="s">
        <v>925</v>
      </c>
      <c r="U51" s="19">
        <v>9393744</v>
      </c>
      <c r="V51" s="20">
        <v>5636246.3999999994</v>
      </c>
      <c r="W51" s="20">
        <v>939374.4</v>
      </c>
      <c r="X51" s="17">
        <v>45298</v>
      </c>
      <c r="Y51" s="13" t="s">
        <v>4</v>
      </c>
      <c r="Z51" s="13" t="s">
        <v>2</v>
      </c>
      <c r="AA51" s="13" t="s">
        <v>1258</v>
      </c>
      <c r="AB51" s="13" t="s">
        <v>3</v>
      </c>
      <c r="AC51" s="13" t="s">
        <v>4</v>
      </c>
      <c r="AD51" s="13" t="s">
        <v>1259</v>
      </c>
      <c r="AE51" s="19">
        <v>8354748</v>
      </c>
      <c r="AF51" s="36">
        <v>5012848.8</v>
      </c>
    </row>
    <row r="52" spans="1:32" x14ac:dyDescent="0.35">
      <c r="A52" s="34">
        <v>81045652069</v>
      </c>
      <c r="B52" s="13" t="s">
        <v>1266</v>
      </c>
      <c r="C52" s="13">
        <v>22497665571</v>
      </c>
      <c r="D52" s="13" t="s">
        <v>47</v>
      </c>
      <c r="E52" s="67" t="s">
        <v>57</v>
      </c>
      <c r="F52" s="13" t="s">
        <v>113</v>
      </c>
      <c r="G52" s="13" t="s">
        <v>463</v>
      </c>
      <c r="H52" s="13" t="s">
        <v>4</v>
      </c>
      <c r="I52" s="15">
        <v>0.6</v>
      </c>
      <c r="J52" s="16">
        <v>44977</v>
      </c>
      <c r="K52" s="17">
        <f t="shared" si="0"/>
        <v>45524</v>
      </c>
      <c r="L52" s="13" t="s">
        <v>464</v>
      </c>
      <c r="M52" s="17"/>
      <c r="N52" s="17"/>
      <c r="O52" s="13"/>
      <c r="P52" s="18"/>
      <c r="Q52" s="17"/>
      <c r="R52" s="13"/>
      <c r="S52" s="13" t="s">
        <v>523</v>
      </c>
      <c r="T52" s="13" t="s">
        <v>926</v>
      </c>
      <c r="U52" s="19">
        <v>8354748</v>
      </c>
      <c r="V52" s="20">
        <v>5012848.8</v>
      </c>
      <c r="W52" s="20">
        <v>835474.8</v>
      </c>
      <c r="X52" s="17">
        <v>45299</v>
      </c>
      <c r="Y52" s="13" t="s">
        <v>4</v>
      </c>
      <c r="Z52" s="13" t="s">
        <v>1258</v>
      </c>
      <c r="AA52" s="13" t="s">
        <v>1258</v>
      </c>
      <c r="AB52" s="13" t="s">
        <v>4</v>
      </c>
      <c r="AC52" s="13" t="s">
        <v>4</v>
      </c>
      <c r="AD52" s="13" t="s">
        <v>1258</v>
      </c>
      <c r="AE52" s="19">
        <v>7383769</v>
      </c>
      <c r="AF52" s="36">
        <v>4430261.3999999994</v>
      </c>
    </row>
    <row r="53" spans="1:32" x14ac:dyDescent="0.35">
      <c r="A53" s="34">
        <v>19727211043</v>
      </c>
      <c r="B53" s="13" t="s">
        <v>1266</v>
      </c>
      <c r="C53" s="13">
        <v>68274538765</v>
      </c>
      <c r="D53" s="13" t="s">
        <v>43</v>
      </c>
      <c r="E53" s="67" t="s">
        <v>60</v>
      </c>
      <c r="F53" s="13" t="s">
        <v>114</v>
      </c>
      <c r="G53" s="13" t="s">
        <v>463</v>
      </c>
      <c r="H53" s="13" t="s">
        <v>3</v>
      </c>
      <c r="I53" s="15">
        <v>0.6</v>
      </c>
      <c r="J53" s="16">
        <v>45180</v>
      </c>
      <c r="K53" s="17">
        <f t="shared" si="0"/>
        <v>45727</v>
      </c>
      <c r="L53" s="13" t="s">
        <v>464</v>
      </c>
      <c r="M53" s="17"/>
      <c r="N53" s="17"/>
      <c r="O53" s="13"/>
      <c r="P53" s="18"/>
      <c r="Q53" s="17"/>
      <c r="R53" s="13"/>
      <c r="S53" s="13" t="s">
        <v>524</v>
      </c>
      <c r="T53" s="13" t="s">
        <v>927</v>
      </c>
      <c r="U53" s="19">
        <v>7383769</v>
      </c>
      <c r="V53" s="20">
        <v>4430261.3999999994</v>
      </c>
      <c r="W53" s="20">
        <v>738376.9</v>
      </c>
      <c r="X53" s="17">
        <v>45616</v>
      </c>
      <c r="Y53" s="13" t="s">
        <v>3</v>
      </c>
      <c r="Z53" s="13" t="s">
        <v>2</v>
      </c>
      <c r="AA53" s="13" t="s">
        <v>1258</v>
      </c>
      <c r="AB53" s="13" t="s">
        <v>3</v>
      </c>
      <c r="AC53" s="13" t="s">
        <v>3</v>
      </c>
      <c r="AD53" s="13" t="s">
        <v>1259</v>
      </c>
      <c r="AE53" s="19">
        <v>5984682</v>
      </c>
      <c r="AF53" s="36">
        <v>3590809.1999999997</v>
      </c>
    </row>
    <row r="54" spans="1:32" x14ac:dyDescent="0.35">
      <c r="A54" s="34">
        <v>86352036800</v>
      </c>
      <c r="B54" s="13" t="s">
        <v>1266</v>
      </c>
      <c r="C54" s="13">
        <v>42423082906</v>
      </c>
      <c r="D54" s="13" t="s">
        <v>45</v>
      </c>
      <c r="E54" s="67" t="s">
        <v>57</v>
      </c>
      <c r="F54" s="13" t="s">
        <v>115</v>
      </c>
      <c r="G54" s="13" t="s">
        <v>463</v>
      </c>
      <c r="H54" s="13" t="s">
        <v>4</v>
      </c>
      <c r="I54" s="15">
        <v>0.6</v>
      </c>
      <c r="J54" s="16">
        <v>45198</v>
      </c>
      <c r="K54" s="17">
        <f t="shared" si="0"/>
        <v>45745</v>
      </c>
      <c r="L54" s="13" t="s">
        <v>464</v>
      </c>
      <c r="M54" s="17"/>
      <c r="N54" s="17"/>
      <c r="O54" s="13"/>
      <c r="P54" s="18"/>
      <c r="Q54" s="17"/>
      <c r="R54" s="13"/>
      <c r="S54" s="13" t="s">
        <v>525</v>
      </c>
      <c r="T54" s="13" t="s">
        <v>928</v>
      </c>
      <c r="U54" s="19">
        <v>5984682</v>
      </c>
      <c r="V54" s="20">
        <v>3590809.1999999997</v>
      </c>
      <c r="W54" s="20">
        <v>598468.20000000007</v>
      </c>
      <c r="X54" s="17">
        <v>45328</v>
      </c>
      <c r="Y54" s="13" t="s">
        <v>4</v>
      </c>
      <c r="Z54" s="13" t="s">
        <v>1258</v>
      </c>
      <c r="AA54" s="13" t="s">
        <v>1258</v>
      </c>
      <c r="AB54" s="13" t="s">
        <v>4</v>
      </c>
      <c r="AC54" s="13" t="s">
        <v>4</v>
      </c>
      <c r="AD54" s="13" t="s">
        <v>1258</v>
      </c>
      <c r="AE54" s="19">
        <v>1134030</v>
      </c>
      <c r="AF54" s="36">
        <v>680418</v>
      </c>
    </row>
    <row r="55" spans="1:32" x14ac:dyDescent="0.35">
      <c r="A55" s="34">
        <v>10796237035</v>
      </c>
      <c r="B55" s="13" t="s">
        <v>1266</v>
      </c>
      <c r="C55" s="13">
        <v>36341477409</v>
      </c>
      <c r="D55" s="13" t="s">
        <v>45</v>
      </c>
      <c r="E55" s="67" t="s">
        <v>60</v>
      </c>
      <c r="F55" s="13" t="s">
        <v>116</v>
      </c>
      <c r="G55" s="13" t="s">
        <v>463</v>
      </c>
      <c r="H55" s="13" t="s">
        <v>3</v>
      </c>
      <c r="I55" s="15">
        <v>0.6</v>
      </c>
      <c r="J55" s="16">
        <v>44991</v>
      </c>
      <c r="K55" s="17">
        <f t="shared" si="0"/>
        <v>45541</v>
      </c>
      <c r="L55" s="13" t="s">
        <v>464</v>
      </c>
      <c r="M55" s="17"/>
      <c r="N55" s="17"/>
      <c r="O55" s="13"/>
      <c r="P55" s="18"/>
      <c r="Q55" s="17"/>
      <c r="R55" s="13"/>
      <c r="S55" s="13" t="s">
        <v>526</v>
      </c>
      <c r="T55" s="13" t="s">
        <v>929</v>
      </c>
      <c r="U55" s="19">
        <v>1134030</v>
      </c>
      <c r="V55" s="20">
        <v>680418</v>
      </c>
      <c r="W55" s="20">
        <v>113403</v>
      </c>
      <c r="X55" s="17">
        <v>45622</v>
      </c>
      <c r="Y55" s="13" t="s">
        <v>3</v>
      </c>
      <c r="Z55" s="13" t="s">
        <v>2</v>
      </c>
      <c r="AA55" s="13" t="s">
        <v>1258</v>
      </c>
      <c r="AB55" s="13" t="s">
        <v>4</v>
      </c>
      <c r="AC55" s="13" t="s">
        <v>3</v>
      </c>
      <c r="AD55" s="13" t="s">
        <v>1258</v>
      </c>
      <c r="AE55" s="19">
        <v>3112016</v>
      </c>
      <c r="AF55" s="36">
        <v>1867209.5999999999</v>
      </c>
    </row>
    <row r="56" spans="1:32" x14ac:dyDescent="0.35">
      <c r="A56" s="34">
        <v>15767057320</v>
      </c>
      <c r="B56" s="13" t="s">
        <v>1266</v>
      </c>
      <c r="C56" s="13">
        <v>57112279103</v>
      </c>
      <c r="D56" s="13" t="s">
        <v>48</v>
      </c>
      <c r="E56" s="67" t="s">
        <v>52</v>
      </c>
      <c r="F56" s="13" t="s">
        <v>117</v>
      </c>
      <c r="G56" s="13" t="s">
        <v>463</v>
      </c>
      <c r="H56" s="13" t="s">
        <v>3</v>
      </c>
      <c r="I56" s="15">
        <v>0.6</v>
      </c>
      <c r="J56" s="16">
        <v>44972</v>
      </c>
      <c r="K56" s="17">
        <f t="shared" si="0"/>
        <v>45519</v>
      </c>
      <c r="L56" s="13" t="s">
        <v>464</v>
      </c>
      <c r="M56" s="17"/>
      <c r="N56" s="17"/>
      <c r="O56" s="13"/>
      <c r="P56" s="18"/>
      <c r="Q56" s="17"/>
      <c r="R56" s="13"/>
      <c r="S56" s="13" t="s">
        <v>527</v>
      </c>
      <c r="T56" s="13" t="s">
        <v>930</v>
      </c>
      <c r="U56" s="19">
        <v>3112016</v>
      </c>
      <c r="V56" s="20">
        <v>1867209.5999999999</v>
      </c>
      <c r="W56" s="20">
        <v>311201.60000000003</v>
      </c>
      <c r="X56" s="17">
        <v>45357</v>
      </c>
      <c r="Y56" s="13" t="s">
        <v>3</v>
      </c>
      <c r="Z56" s="13" t="s">
        <v>1258</v>
      </c>
      <c r="AA56" s="13" t="s">
        <v>1258</v>
      </c>
      <c r="AB56" s="13" t="s">
        <v>3</v>
      </c>
      <c r="AC56" s="13" t="s">
        <v>3</v>
      </c>
      <c r="AD56" s="13" t="s">
        <v>1259</v>
      </c>
      <c r="AE56" s="19">
        <v>9666862</v>
      </c>
      <c r="AF56" s="36">
        <v>5800117.2000000002</v>
      </c>
    </row>
    <row r="57" spans="1:32" x14ac:dyDescent="0.35">
      <c r="A57" s="34">
        <v>35880786426</v>
      </c>
      <c r="B57" s="13" t="s">
        <v>1266</v>
      </c>
      <c r="C57" s="13">
        <v>71154393434</v>
      </c>
      <c r="D57" s="13" t="s">
        <v>45</v>
      </c>
      <c r="E57" s="67" t="s">
        <v>56</v>
      </c>
      <c r="F57" s="13" t="s">
        <v>118</v>
      </c>
      <c r="G57" s="13" t="s">
        <v>463</v>
      </c>
      <c r="H57" s="13" t="s">
        <v>4</v>
      </c>
      <c r="I57" s="15">
        <v>0.5</v>
      </c>
      <c r="J57" s="16">
        <v>45052</v>
      </c>
      <c r="K57" s="17">
        <f t="shared" si="0"/>
        <v>45602</v>
      </c>
      <c r="L57" s="13" t="s">
        <v>464</v>
      </c>
      <c r="M57" s="17"/>
      <c r="N57" s="17"/>
      <c r="O57" s="13"/>
      <c r="P57" s="18"/>
      <c r="Q57" s="17"/>
      <c r="R57" s="13"/>
      <c r="S57" s="13" t="s">
        <v>528</v>
      </c>
      <c r="T57" s="13" t="s">
        <v>931</v>
      </c>
      <c r="U57" s="19">
        <v>9666862</v>
      </c>
      <c r="V57" s="20">
        <v>5800117.2000000002</v>
      </c>
      <c r="W57" s="20">
        <v>966686.20000000007</v>
      </c>
      <c r="X57" s="17">
        <v>45361</v>
      </c>
      <c r="Y57" s="13" t="s">
        <v>4</v>
      </c>
      <c r="Z57" s="13" t="s">
        <v>2</v>
      </c>
      <c r="AA57" s="13" t="s">
        <v>1258</v>
      </c>
      <c r="AB57" s="13" t="s">
        <v>4</v>
      </c>
      <c r="AC57" s="13" t="s">
        <v>4</v>
      </c>
      <c r="AD57" s="13" t="s">
        <v>1258</v>
      </c>
      <c r="AE57" s="19">
        <v>1132002</v>
      </c>
      <c r="AF57" s="36">
        <v>679201.2</v>
      </c>
    </row>
    <row r="58" spans="1:32" x14ac:dyDescent="0.35">
      <c r="A58" s="34">
        <v>92812907731</v>
      </c>
      <c r="B58" s="13" t="s">
        <v>1266</v>
      </c>
      <c r="C58" s="13">
        <v>54205763347</v>
      </c>
      <c r="D58" s="13" t="s">
        <v>41</v>
      </c>
      <c r="E58" s="67" t="s">
        <v>54</v>
      </c>
      <c r="F58" s="13" t="s">
        <v>119</v>
      </c>
      <c r="G58" s="13" t="s">
        <v>463</v>
      </c>
      <c r="H58" s="13" t="s">
        <v>3</v>
      </c>
      <c r="I58" s="15">
        <v>0.6</v>
      </c>
      <c r="J58" s="16">
        <v>44981</v>
      </c>
      <c r="K58" s="17">
        <f t="shared" si="0"/>
        <v>45528</v>
      </c>
      <c r="L58" s="13" t="s">
        <v>464</v>
      </c>
      <c r="M58" s="17"/>
      <c r="N58" s="17"/>
      <c r="O58" s="13"/>
      <c r="P58" s="18"/>
      <c r="Q58" s="17"/>
      <c r="R58" s="13"/>
      <c r="S58" s="13" t="s">
        <v>529</v>
      </c>
      <c r="T58" s="13" t="s">
        <v>932</v>
      </c>
      <c r="U58" s="19">
        <v>1132002</v>
      </c>
      <c r="V58" s="20">
        <v>679201.2</v>
      </c>
      <c r="W58" s="20">
        <v>113200.20000000001</v>
      </c>
      <c r="X58" s="17">
        <v>45623</v>
      </c>
      <c r="Y58" s="13" t="s">
        <v>3</v>
      </c>
      <c r="Z58" s="13" t="s">
        <v>2</v>
      </c>
      <c r="AA58" s="13" t="s">
        <v>1258</v>
      </c>
      <c r="AB58" s="13" t="s">
        <v>4</v>
      </c>
      <c r="AC58" s="13" t="s">
        <v>3</v>
      </c>
      <c r="AD58" s="13" t="s">
        <v>1258</v>
      </c>
      <c r="AE58" s="19">
        <v>3995048</v>
      </c>
      <c r="AF58" s="36">
        <v>2397028.7999999998</v>
      </c>
    </row>
    <row r="59" spans="1:32" x14ac:dyDescent="0.35">
      <c r="A59" s="34">
        <v>55343363010</v>
      </c>
      <c r="B59" s="13" t="s">
        <v>1266</v>
      </c>
      <c r="C59" s="13">
        <v>18953132209</v>
      </c>
      <c r="D59" s="13" t="s">
        <v>44</v>
      </c>
      <c r="E59" s="67" t="s">
        <v>60</v>
      </c>
      <c r="F59" s="13" t="s">
        <v>120</v>
      </c>
      <c r="G59" s="13" t="s">
        <v>463</v>
      </c>
      <c r="H59" s="13" t="s">
        <v>3</v>
      </c>
      <c r="I59" s="15">
        <v>0.6</v>
      </c>
      <c r="J59" s="16">
        <v>45042</v>
      </c>
      <c r="K59" s="17">
        <f t="shared" si="0"/>
        <v>45591</v>
      </c>
      <c r="L59" s="13" t="s">
        <v>465</v>
      </c>
      <c r="M59" s="17">
        <v>45260</v>
      </c>
      <c r="N59" s="17">
        <v>45067</v>
      </c>
      <c r="O59" s="13" t="s">
        <v>470</v>
      </c>
      <c r="P59" s="18" t="s">
        <v>469</v>
      </c>
      <c r="Q59" s="17">
        <v>45641</v>
      </c>
      <c r="R59" s="13"/>
      <c r="S59" s="13" t="s">
        <v>530</v>
      </c>
      <c r="T59" s="13" t="s">
        <v>933</v>
      </c>
      <c r="U59" s="19">
        <v>3995048</v>
      </c>
      <c r="V59" s="20">
        <v>2397028.7999999998</v>
      </c>
      <c r="W59" s="20">
        <v>399504.80000000005</v>
      </c>
      <c r="X59" s="17">
        <v>45526</v>
      </c>
      <c r="Y59" s="13" t="s">
        <v>3</v>
      </c>
      <c r="Z59" s="13" t="s">
        <v>1258</v>
      </c>
      <c r="AA59" s="13" t="s">
        <v>1258</v>
      </c>
      <c r="AB59" s="13" t="s">
        <v>4</v>
      </c>
      <c r="AC59" s="13" t="s">
        <v>3</v>
      </c>
      <c r="AD59" s="13" t="s">
        <v>1259</v>
      </c>
      <c r="AE59" s="19">
        <v>9930822</v>
      </c>
      <c r="AF59" s="36">
        <v>5958493.2000000002</v>
      </c>
    </row>
    <row r="60" spans="1:32" x14ac:dyDescent="0.35">
      <c r="A60" s="34">
        <v>75316218344</v>
      </c>
      <c r="B60" s="13" t="s">
        <v>1266</v>
      </c>
      <c r="C60" s="13">
        <v>50704390321</v>
      </c>
      <c r="D60" s="13" t="s">
        <v>44</v>
      </c>
      <c r="E60" s="67" t="s">
        <v>60</v>
      </c>
      <c r="F60" s="13" t="s">
        <v>121</v>
      </c>
      <c r="G60" s="13" t="s">
        <v>463</v>
      </c>
      <c r="H60" s="13" t="s">
        <v>3</v>
      </c>
      <c r="I60" s="15">
        <v>0.6</v>
      </c>
      <c r="J60" s="16">
        <v>45105</v>
      </c>
      <c r="K60" s="17">
        <f t="shared" si="0"/>
        <v>45654</v>
      </c>
      <c r="L60" s="13" t="s">
        <v>464</v>
      </c>
      <c r="M60" s="17"/>
      <c r="N60" s="17"/>
      <c r="O60" s="13"/>
      <c r="P60" s="18"/>
      <c r="Q60" s="17"/>
      <c r="R60" s="13"/>
      <c r="S60" s="13" t="s">
        <v>531</v>
      </c>
      <c r="T60" s="13" t="s">
        <v>934</v>
      </c>
      <c r="U60" s="19">
        <v>9930822</v>
      </c>
      <c r="V60" s="20">
        <v>5958493.2000000002</v>
      </c>
      <c r="W60" s="20">
        <v>993082.20000000007</v>
      </c>
      <c r="X60" s="17">
        <v>45383</v>
      </c>
      <c r="Y60" s="13" t="s">
        <v>3</v>
      </c>
      <c r="Z60" s="13" t="s">
        <v>2</v>
      </c>
      <c r="AA60" s="13" t="s">
        <v>1258</v>
      </c>
      <c r="AB60" s="13" t="s">
        <v>3</v>
      </c>
      <c r="AC60" s="13" t="s">
        <v>3</v>
      </c>
      <c r="AD60" s="13" t="s">
        <v>1258</v>
      </c>
      <c r="AE60" s="19">
        <v>2674383</v>
      </c>
      <c r="AF60" s="36">
        <v>1604629.8</v>
      </c>
    </row>
    <row r="61" spans="1:32" x14ac:dyDescent="0.35">
      <c r="A61" s="34">
        <v>17604781739</v>
      </c>
      <c r="B61" s="13" t="s">
        <v>1266</v>
      </c>
      <c r="C61" s="13">
        <v>80508414583</v>
      </c>
      <c r="D61" s="13" t="s">
        <v>47</v>
      </c>
      <c r="E61" s="67" t="s">
        <v>52</v>
      </c>
      <c r="F61" s="13" t="s">
        <v>122</v>
      </c>
      <c r="G61" s="13" t="s">
        <v>463</v>
      </c>
      <c r="H61" s="13" t="s">
        <v>3</v>
      </c>
      <c r="I61" s="15">
        <v>0.6</v>
      </c>
      <c r="J61" s="16">
        <v>45263</v>
      </c>
      <c r="K61" s="17">
        <f t="shared" si="0"/>
        <v>45811</v>
      </c>
      <c r="L61" s="13" t="s">
        <v>464</v>
      </c>
      <c r="M61" s="17"/>
      <c r="N61" s="17"/>
      <c r="O61" s="13"/>
      <c r="P61" s="18"/>
      <c r="Q61" s="17"/>
      <c r="R61" s="13"/>
      <c r="S61" s="13" t="s">
        <v>532</v>
      </c>
      <c r="T61" s="13" t="s">
        <v>935</v>
      </c>
      <c r="U61" s="19">
        <v>2674383</v>
      </c>
      <c r="V61" s="20">
        <v>1604629.8</v>
      </c>
      <c r="W61" s="20">
        <v>267438.3</v>
      </c>
      <c r="X61" s="17">
        <v>45460</v>
      </c>
      <c r="Y61" s="13" t="s">
        <v>3</v>
      </c>
      <c r="Z61" s="13" t="s">
        <v>1258</v>
      </c>
      <c r="AA61" s="13" t="s">
        <v>1258</v>
      </c>
      <c r="AB61" s="13" t="s">
        <v>3</v>
      </c>
      <c r="AC61" s="13" t="s">
        <v>3</v>
      </c>
      <c r="AD61" s="13" t="s">
        <v>1259</v>
      </c>
      <c r="AE61" s="19">
        <v>4184872</v>
      </c>
      <c r="AF61" s="36">
        <v>2510923.1999999997</v>
      </c>
    </row>
    <row r="62" spans="1:32" x14ac:dyDescent="0.35">
      <c r="A62" s="34">
        <v>34143251955</v>
      </c>
      <c r="B62" s="13" t="s">
        <v>1266</v>
      </c>
      <c r="C62" s="13">
        <v>19105258350</v>
      </c>
      <c r="D62" s="13" t="s">
        <v>47</v>
      </c>
      <c r="E62" s="67" t="s">
        <v>57</v>
      </c>
      <c r="F62" s="13" t="s">
        <v>123</v>
      </c>
      <c r="G62" s="13" t="s">
        <v>462</v>
      </c>
      <c r="H62" s="13" t="s">
        <v>3</v>
      </c>
      <c r="I62" s="15">
        <v>0.7</v>
      </c>
      <c r="J62" s="16">
        <v>44963</v>
      </c>
      <c r="K62" s="17">
        <f t="shared" si="0"/>
        <v>45510</v>
      </c>
      <c r="L62" s="13" t="s">
        <v>464</v>
      </c>
      <c r="M62" s="17"/>
      <c r="N62" s="17"/>
      <c r="O62" s="13"/>
      <c r="P62" s="18"/>
      <c r="Q62" s="17"/>
      <c r="R62" s="13"/>
      <c r="S62" s="13" t="s">
        <v>533</v>
      </c>
      <c r="T62" s="13" t="s">
        <v>936</v>
      </c>
      <c r="U62" s="19">
        <v>4184872</v>
      </c>
      <c r="V62" s="20">
        <v>2510923.1999999997</v>
      </c>
      <c r="W62" s="20">
        <v>418487.2</v>
      </c>
      <c r="X62" s="17">
        <v>45333</v>
      </c>
      <c r="Y62" s="13" t="s">
        <v>3</v>
      </c>
      <c r="Z62" s="13" t="s">
        <v>2</v>
      </c>
      <c r="AA62" s="13" t="s">
        <v>1258</v>
      </c>
      <c r="AB62" s="13" t="s">
        <v>4</v>
      </c>
      <c r="AC62" s="13" t="s">
        <v>3</v>
      </c>
      <c r="AD62" s="13" t="s">
        <v>1259</v>
      </c>
      <c r="AE62" s="19">
        <v>4472602</v>
      </c>
      <c r="AF62" s="36">
        <v>2683561.1999999997</v>
      </c>
    </row>
    <row r="63" spans="1:32" x14ac:dyDescent="0.35">
      <c r="A63" s="34">
        <v>84949910854</v>
      </c>
      <c r="B63" s="13" t="s">
        <v>1266</v>
      </c>
      <c r="C63" s="13">
        <v>37947370356</v>
      </c>
      <c r="D63" s="13" t="s">
        <v>49</v>
      </c>
      <c r="E63" s="67" t="s">
        <v>56</v>
      </c>
      <c r="F63" s="13" t="s">
        <v>124</v>
      </c>
      <c r="G63" s="13" t="s">
        <v>462</v>
      </c>
      <c r="H63" s="13" t="s">
        <v>4</v>
      </c>
      <c r="I63" s="15">
        <v>0.6</v>
      </c>
      <c r="J63" s="16">
        <v>45262</v>
      </c>
      <c r="K63" s="17">
        <f t="shared" si="0"/>
        <v>45810</v>
      </c>
      <c r="L63" s="13" t="s">
        <v>465</v>
      </c>
      <c r="M63" s="17">
        <v>45106</v>
      </c>
      <c r="N63" s="17">
        <v>45350</v>
      </c>
      <c r="O63" s="13" t="s">
        <v>470</v>
      </c>
      <c r="P63" s="18" t="s">
        <v>471</v>
      </c>
      <c r="Q63" s="17">
        <v>45616</v>
      </c>
      <c r="R63" s="13"/>
      <c r="S63" s="13" t="s">
        <v>534</v>
      </c>
      <c r="T63" s="13" t="s">
        <v>937</v>
      </c>
      <c r="U63" s="19">
        <v>4472602</v>
      </c>
      <c r="V63" s="20">
        <v>2683561.1999999997</v>
      </c>
      <c r="W63" s="20">
        <v>447260.2</v>
      </c>
      <c r="X63" s="17">
        <v>45404</v>
      </c>
      <c r="Y63" s="13" t="s">
        <v>4</v>
      </c>
      <c r="Z63" s="13" t="s">
        <v>2</v>
      </c>
      <c r="AA63" s="13" t="s">
        <v>1258</v>
      </c>
      <c r="AB63" s="13" t="s">
        <v>4</v>
      </c>
      <c r="AC63" s="13" t="s">
        <v>4</v>
      </c>
      <c r="AD63" s="13" t="s">
        <v>1259</v>
      </c>
      <c r="AE63" s="19">
        <v>4363170</v>
      </c>
      <c r="AF63" s="36">
        <v>2617902</v>
      </c>
    </row>
    <row r="64" spans="1:32" x14ac:dyDescent="0.35">
      <c r="A64" s="34">
        <v>17495285482</v>
      </c>
      <c r="B64" s="13" t="s">
        <v>1266</v>
      </c>
      <c r="C64" s="13">
        <v>52819127385</v>
      </c>
      <c r="D64" s="13" t="s">
        <v>44</v>
      </c>
      <c r="E64" s="67" t="s">
        <v>54</v>
      </c>
      <c r="F64" s="13" t="s">
        <v>125</v>
      </c>
      <c r="G64" s="13" t="s">
        <v>462</v>
      </c>
      <c r="H64" s="13" t="s">
        <v>4</v>
      </c>
      <c r="I64" s="15">
        <v>0.6</v>
      </c>
      <c r="J64" s="16">
        <v>45001</v>
      </c>
      <c r="K64" s="17">
        <f t="shared" si="0"/>
        <v>45551</v>
      </c>
      <c r="L64" s="13" t="s">
        <v>465</v>
      </c>
      <c r="M64" s="17">
        <v>45252</v>
      </c>
      <c r="N64" s="17">
        <v>45008</v>
      </c>
      <c r="O64" s="13" t="s">
        <v>470</v>
      </c>
      <c r="P64" s="18" t="s">
        <v>471</v>
      </c>
      <c r="Q64" s="17">
        <v>45481</v>
      </c>
      <c r="R64" s="13"/>
      <c r="S64" s="13" t="s">
        <v>535</v>
      </c>
      <c r="T64" s="13" t="s">
        <v>938</v>
      </c>
      <c r="U64" s="19">
        <v>4363170</v>
      </c>
      <c r="V64" s="20">
        <v>2617902</v>
      </c>
      <c r="W64" s="20">
        <v>436317</v>
      </c>
      <c r="X64" s="17">
        <v>45410</v>
      </c>
      <c r="Y64" s="13" t="s">
        <v>4</v>
      </c>
      <c r="Z64" s="13" t="s">
        <v>2</v>
      </c>
      <c r="AA64" s="13" t="s">
        <v>1258</v>
      </c>
      <c r="AB64" s="13" t="s">
        <v>3</v>
      </c>
      <c r="AC64" s="13" t="s">
        <v>4</v>
      </c>
      <c r="AD64" s="13" t="s">
        <v>1258</v>
      </c>
      <c r="AE64" s="19">
        <v>6365123</v>
      </c>
      <c r="AF64" s="36">
        <v>3819073.8</v>
      </c>
    </row>
    <row r="65" spans="1:32" x14ac:dyDescent="0.35">
      <c r="A65" s="34">
        <v>65990574830</v>
      </c>
      <c r="B65" s="13" t="s">
        <v>1266</v>
      </c>
      <c r="C65" s="13">
        <v>63767873168</v>
      </c>
      <c r="D65" s="13" t="s">
        <v>44</v>
      </c>
      <c r="E65" s="67" t="s">
        <v>51</v>
      </c>
      <c r="F65" s="13" t="s">
        <v>126</v>
      </c>
      <c r="G65" s="13" t="s">
        <v>462</v>
      </c>
      <c r="H65" s="13" t="s">
        <v>3</v>
      </c>
      <c r="I65" s="15">
        <v>0.6</v>
      </c>
      <c r="J65" s="16">
        <v>45131</v>
      </c>
      <c r="K65" s="17">
        <f t="shared" si="0"/>
        <v>45681</v>
      </c>
      <c r="L65" s="13" t="s">
        <v>464</v>
      </c>
      <c r="M65" s="17"/>
      <c r="N65" s="17"/>
      <c r="O65" s="13"/>
      <c r="P65" s="18"/>
      <c r="Q65" s="17"/>
      <c r="R65" s="13"/>
      <c r="S65" s="13" t="s">
        <v>536</v>
      </c>
      <c r="T65" s="13" t="s">
        <v>939</v>
      </c>
      <c r="U65" s="19">
        <v>6365123</v>
      </c>
      <c r="V65" s="20">
        <v>3819073.8</v>
      </c>
      <c r="W65" s="20">
        <v>636512.30000000005</v>
      </c>
      <c r="X65" s="17">
        <v>45409</v>
      </c>
      <c r="Y65" s="13" t="s">
        <v>3</v>
      </c>
      <c r="Z65" s="13" t="s">
        <v>2</v>
      </c>
      <c r="AA65" s="13" t="s">
        <v>1258</v>
      </c>
      <c r="AB65" s="13" t="s">
        <v>3</v>
      </c>
      <c r="AC65" s="13" t="s">
        <v>3</v>
      </c>
      <c r="AD65" s="13" t="s">
        <v>1258</v>
      </c>
      <c r="AE65" s="19">
        <v>1576572</v>
      </c>
      <c r="AF65" s="36">
        <v>945943.2</v>
      </c>
    </row>
    <row r="66" spans="1:32" x14ac:dyDescent="0.35">
      <c r="A66" s="34">
        <v>79958204768</v>
      </c>
      <c r="B66" s="13" t="s">
        <v>1266</v>
      </c>
      <c r="C66" s="13">
        <v>12804156866</v>
      </c>
      <c r="D66" s="13" t="s">
        <v>43</v>
      </c>
      <c r="E66" s="67" t="s">
        <v>58</v>
      </c>
      <c r="F66" s="13" t="s">
        <v>127</v>
      </c>
      <c r="G66" s="13" t="s">
        <v>463</v>
      </c>
      <c r="H66" s="13" t="s">
        <v>4</v>
      </c>
      <c r="I66" s="15">
        <v>0.7</v>
      </c>
      <c r="J66" s="16">
        <v>45254</v>
      </c>
      <c r="K66" s="17">
        <f t="shared" si="0"/>
        <v>45801</v>
      </c>
      <c r="L66" s="13" t="s">
        <v>464</v>
      </c>
      <c r="M66" s="17"/>
      <c r="N66" s="17"/>
      <c r="O66" s="13"/>
      <c r="P66" s="18"/>
      <c r="Q66" s="17"/>
      <c r="R66" s="13"/>
      <c r="S66" s="13" t="s">
        <v>537</v>
      </c>
      <c r="T66" s="13" t="s">
        <v>940</v>
      </c>
      <c r="U66" s="19">
        <v>1576572</v>
      </c>
      <c r="V66" s="20">
        <v>945943.2</v>
      </c>
      <c r="W66" s="20">
        <v>157657.20000000001</v>
      </c>
      <c r="X66" s="17">
        <v>45401</v>
      </c>
      <c r="Y66" s="13" t="s">
        <v>4</v>
      </c>
      <c r="Z66" s="13" t="s">
        <v>2</v>
      </c>
      <c r="AA66" s="13" t="s">
        <v>1258</v>
      </c>
      <c r="AB66" s="13" t="s">
        <v>4</v>
      </c>
      <c r="AC66" s="13" t="s">
        <v>4</v>
      </c>
      <c r="AD66" s="13" t="s">
        <v>1258</v>
      </c>
      <c r="AE66" s="19">
        <v>5569894</v>
      </c>
      <c r="AF66" s="36">
        <v>3341936.4</v>
      </c>
    </row>
    <row r="67" spans="1:32" x14ac:dyDescent="0.35">
      <c r="A67" s="34">
        <v>88255796312</v>
      </c>
      <c r="B67" s="13" t="s">
        <v>1266</v>
      </c>
      <c r="C67" s="13">
        <v>37237789758</v>
      </c>
      <c r="D67" s="13" t="s">
        <v>43</v>
      </c>
      <c r="E67" s="67" t="s">
        <v>57</v>
      </c>
      <c r="F67" s="13" t="s">
        <v>128</v>
      </c>
      <c r="G67" s="13" t="s">
        <v>463</v>
      </c>
      <c r="H67" s="13" t="s">
        <v>4</v>
      </c>
      <c r="I67" s="15">
        <v>0.6</v>
      </c>
      <c r="J67" s="16">
        <v>44996</v>
      </c>
      <c r="K67" s="17">
        <f t="shared" si="0"/>
        <v>45546</v>
      </c>
      <c r="L67" s="13" t="s">
        <v>465</v>
      </c>
      <c r="M67" s="17">
        <v>44950</v>
      </c>
      <c r="N67" s="17">
        <v>45043</v>
      </c>
      <c r="O67" s="13" t="s">
        <v>470</v>
      </c>
      <c r="P67" s="18" t="s">
        <v>471</v>
      </c>
      <c r="Q67" s="17">
        <v>45300</v>
      </c>
      <c r="R67" s="13"/>
      <c r="S67" s="13" t="s">
        <v>538</v>
      </c>
      <c r="T67" s="13" t="s">
        <v>941</v>
      </c>
      <c r="U67" s="19">
        <v>5569894</v>
      </c>
      <c r="V67" s="20">
        <v>3341936.4</v>
      </c>
      <c r="W67" s="20">
        <v>556989.4</v>
      </c>
      <c r="X67" s="17">
        <v>45328</v>
      </c>
      <c r="Y67" s="13" t="s">
        <v>4</v>
      </c>
      <c r="Z67" s="13" t="s">
        <v>2</v>
      </c>
      <c r="AA67" s="13" t="s">
        <v>1258</v>
      </c>
      <c r="AB67" s="13" t="s">
        <v>3</v>
      </c>
      <c r="AC67" s="13" t="s">
        <v>4</v>
      </c>
      <c r="AD67" s="13" t="s">
        <v>1258</v>
      </c>
      <c r="AE67" s="19">
        <v>6467771</v>
      </c>
      <c r="AF67" s="36">
        <v>3880662.5999999996</v>
      </c>
    </row>
    <row r="68" spans="1:32" x14ac:dyDescent="0.35">
      <c r="A68" s="34">
        <v>67870633160</v>
      </c>
      <c r="B68" s="13" t="s">
        <v>1266</v>
      </c>
      <c r="C68" s="13">
        <v>61178295347</v>
      </c>
      <c r="D68" s="13" t="s">
        <v>48</v>
      </c>
      <c r="E68" s="67" t="s">
        <v>59</v>
      </c>
      <c r="F68" s="13" t="s">
        <v>129</v>
      </c>
      <c r="G68" s="13" t="s">
        <v>462</v>
      </c>
      <c r="H68" s="13" t="s">
        <v>3</v>
      </c>
      <c r="I68" s="15">
        <v>0.6</v>
      </c>
      <c r="J68" s="16">
        <v>45016</v>
      </c>
      <c r="K68" s="17">
        <f t="shared" ref="K68:K131" si="1">EDATE(J68,18)</f>
        <v>45565</v>
      </c>
      <c r="L68" s="13" t="s">
        <v>465</v>
      </c>
      <c r="M68" s="17">
        <v>44938</v>
      </c>
      <c r="N68" s="17">
        <v>45208</v>
      </c>
      <c r="O68" s="13" t="s">
        <v>468</v>
      </c>
      <c r="P68" s="18" t="s">
        <v>471</v>
      </c>
      <c r="Q68" s="17">
        <v>45394</v>
      </c>
      <c r="R68" s="13"/>
      <c r="S68" s="13" t="s">
        <v>539</v>
      </c>
      <c r="T68" s="13" t="s">
        <v>942</v>
      </c>
      <c r="U68" s="19">
        <v>6467771</v>
      </c>
      <c r="V68" s="20">
        <v>3880662.5999999996</v>
      </c>
      <c r="W68" s="20">
        <v>646777.10000000009</v>
      </c>
      <c r="X68" s="17">
        <v>45529</v>
      </c>
      <c r="Y68" s="13" t="s">
        <v>3</v>
      </c>
      <c r="Z68" s="13" t="s">
        <v>2</v>
      </c>
      <c r="AA68" s="13" t="s">
        <v>1258</v>
      </c>
      <c r="AB68" s="13" t="s">
        <v>4</v>
      </c>
      <c r="AC68" s="13" t="s">
        <v>3</v>
      </c>
      <c r="AD68" s="13" t="s">
        <v>1258</v>
      </c>
      <c r="AE68" s="19">
        <v>1219878</v>
      </c>
      <c r="AF68" s="36">
        <v>731926.79999999993</v>
      </c>
    </row>
    <row r="69" spans="1:32" x14ac:dyDescent="0.35">
      <c r="A69" s="34">
        <v>78497710484</v>
      </c>
      <c r="B69" s="13" t="s">
        <v>1266</v>
      </c>
      <c r="C69" s="13">
        <v>53171400767</v>
      </c>
      <c r="D69" s="13" t="s">
        <v>48</v>
      </c>
      <c r="E69" s="67" t="s">
        <v>51</v>
      </c>
      <c r="F69" s="13" t="s">
        <v>130</v>
      </c>
      <c r="G69" s="13" t="s">
        <v>462</v>
      </c>
      <c r="H69" s="13" t="s">
        <v>4</v>
      </c>
      <c r="I69" s="15">
        <v>0.6</v>
      </c>
      <c r="J69" s="16">
        <v>45257</v>
      </c>
      <c r="K69" s="17">
        <f t="shared" si="1"/>
        <v>45804</v>
      </c>
      <c r="L69" s="13" t="s">
        <v>464</v>
      </c>
      <c r="M69" s="17"/>
      <c r="N69" s="17"/>
      <c r="O69" s="13"/>
      <c r="P69" s="18"/>
      <c r="Q69" s="17"/>
      <c r="R69" s="13"/>
      <c r="S69" s="13" t="s">
        <v>540</v>
      </c>
      <c r="T69" s="13" t="s">
        <v>943</v>
      </c>
      <c r="U69" s="19">
        <v>1219878</v>
      </c>
      <c r="V69" s="20">
        <v>731926.79999999993</v>
      </c>
      <c r="W69" s="20">
        <v>121987.8</v>
      </c>
      <c r="X69" s="17">
        <v>45570</v>
      </c>
      <c r="Y69" s="13" t="s">
        <v>4</v>
      </c>
      <c r="Z69" s="13" t="s">
        <v>2</v>
      </c>
      <c r="AA69" s="13" t="s">
        <v>1258</v>
      </c>
      <c r="AB69" s="13" t="s">
        <v>3</v>
      </c>
      <c r="AC69" s="13" t="s">
        <v>4</v>
      </c>
      <c r="AD69" s="13" t="s">
        <v>1258</v>
      </c>
      <c r="AE69" s="19">
        <v>9295812</v>
      </c>
      <c r="AF69" s="36">
        <v>5577487.2000000002</v>
      </c>
    </row>
    <row r="70" spans="1:32" x14ac:dyDescent="0.35">
      <c r="A70" s="34">
        <v>13660907073</v>
      </c>
      <c r="B70" s="13" t="s">
        <v>1266</v>
      </c>
      <c r="C70" s="13">
        <v>94815340114</v>
      </c>
      <c r="D70" s="13" t="s">
        <v>41</v>
      </c>
      <c r="E70" s="67" t="s">
        <v>55</v>
      </c>
      <c r="F70" s="13" t="s">
        <v>131</v>
      </c>
      <c r="G70" s="13" t="s">
        <v>462</v>
      </c>
      <c r="H70" s="13" t="s">
        <v>4</v>
      </c>
      <c r="I70" s="15">
        <v>0.6</v>
      </c>
      <c r="J70" s="16">
        <v>45057</v>
      </c>
      <c r="K70" s="17">
        <f t="shared" si="1"/>
        <v>45607</v>
      </c>
      <c r="L70" s="13" t="s">
        <v>465</v>
      </c>
      <c r="M70" s="17">
        <v>45037</v>
      </c>
      <c r="N70" s="17">
        <v>45248</v>
      </c>
      <c r="O70" s="13" t="s">
        <v>470</v>
      </c>
      <c r="P70" s="18" t="s">
        <v>471</v>
      </c>
      <c r="Q70" s="17">
        <v>45348</v>
      </c>
      <c r="R70" s="13"/>
      <c r="S70" s="13" t="s">
        <v>541</v>
      </c>
      <c r="T70" s="13" t="s">
        <v>944</v>
      </c>
      <c r="U70" s="19">
        <v>9295812</v>
      </c>
      <c r="V70" s="20">
        <v>5577487.2000000002</v>
      </c>
      <c r="W70" s="20">
        <v>929581.20000000007</v>
      </c>
      <c r="X70" s="17">
        <v>45412</v>
      </c>
      <c r="Y70" s="13" t="s">
        <v>4</v>
      </c>
      <c r="Z70" s="13" t="s">
        <v>1258</v>
      </c>
      <c r="AA70" s="13" t="s">
        <v>1258</v>
      </c>
      <c r="AB70" s="13" t="s">
        <v>4</v>
      </c>
      <c r="AC70" s="13" t="s">
        <v>4</v>
      </c>
      <c r="AD70" s="13" t="s">
        <v>1259</v>
      </c>
      <c r="AE70" s="19">
        <v>3140120</v>
      </c>
      <c r="AF70" s="36">
        <v>1884072</v>
      </c>
    </row>
    <row r="71" spans="1:32" x14ac:dyDescent="0.35">
      <c r="A71" s="34">
        <v>91965057755</v>
      </c>
      <c r="B71" s="13" t="s">
        <v>1266</v>
      </c>
      <c r="C71" s="13">
        <v>23936060360</v>
      </c>
      <c r="D71" s="13" t="s">
        <v>41</v>
      </c>
      <c r="E71" s="67" t="s">
        <v>57</v>
      </c>
      <c r="F71" s="13" t="s">
        <v>132</v>
      </c>
      <c r="G71" s="13" t="s">
        <v>462</v>
      </c>
      <c r="H71" s="13" t="s">
        <v>4</v>
      </c>
      <c r="I71" s="15">
        <v>0.6</v>
      </c>
      <c r="J71" s="16">
        <v>44963</v>
      </c>
      <c r="K71" s="17">
        <f t="shared" si="1"/>
        <v>45510</v>
      </c>
      <c r="L71" s="13" t="s">
        <v>465</v>
      </c>
      <c r="M71" s="17">
        <v>45275</v>
      </c>
      <c r="N71" s="17">
        <v>45066</v>
      </c>
      <c r="O71" s="13" t="s">
        <v>468</v>
      </c>
      <c r="P71" s="18" t="s">
        <v>471</v>
      </c>
      <c r="Q71" s="17">
        <v>45295</v>
      </c>
      <c r="R71" s="13"/>
      <c r="S71" s="13" t="s">
        <v>542</v>
      </c>
      <c r="T71" s="13" t="s">
        <v>945</v>
      </c>
      <c r="U71" s="19">
        <v>3140120</v>
      </c>
      <c r="V71" s="20">
        <v>1884072</v>
      </c>
      <c r="W71" s="20">
        <v>314012</v>
      </c>
      <c r="X71" s="17">
        <v>45536</v>
      </c>
      <c r="Y71" s="13" t="s">
        <v>4</v>
      </c>
      <c r="Z71" s="13" t="s">
        <v>2</v>
      </c>
      <c r="AA71" s="13" t="s">
        <v>1258</v>
      </c>
      <c r="AB71" s="13" t="s">
        <v>3</v>
      </c>
      <c r="AC71" s="13" t="s">
        <v>4</v>
      </c>
      <c r="AD71" s="13" t="s">
        <v>1258</v>
      </c>
      <c r="AE71" s="19">
        <v>2405986</v>
      </c>
      <c r="AF71" s="36">
        <v>1443591.5999999999</v>
      </c>
    </row>
    <row r="72" spans="1:32" x14ac:dyDescent="0.35">
      <c r="A72" s="34">
        <v>23651650271</v>
      </c>
      <c r="B72" s="13" t="s">
        <v>1266</v>
      </c>
      <c r="C72" s="13">
        <v>59042048931</v>
      </c>
      <c r="D72" s="13" t="s">
        <v>47</v>
      </c>
      <c r="E72" s="67" t="s">
        <v>56</v>
      </c>
      <c r="F72" s="13" t="s">
        <v>133</v>
      </c>
      <c r="G72" s="13" t="s">
        <v>462</v>
      </c>
      <c r="H72" s="13" t="s">
        <v>3</v>
      </c>
      <c r="I72" s="15">
        <v>0.6</v>
      </c>
      <c r="J72" s="16">
        <v>45253</v>
      </c>
      <c r="K72" s="17">
        <f t="shared" si="1"/>
        <v>45800</v>
      </c>
      <c r="L72" s="13" t="s">
        <v>465</v>
      </c>
      <c r="M72" s="17">
        <v>44931</v>
      </c>
      <c r="N72" s="17">
        <v>45261</v>
      </c>
      <c r="O72" s="13" t="s">
        <v>468</v>
      </c>
      <c r="P72" s="18" t="s">
        <v>469</v>
      </c>
      <c r="Q72" s="17">
        <v>45405</v>
      </c>
      <c r="R72" s="13"/>
      <c r="S72" s="13" t="s">
        <v>543</v>
      </c>
      <c r="T72" s="13" t="s">
        <v>946</v>
      </c>
      <c r="U72" s="19">
        <v>2405986</v>
      </c>
      <c r="V72" s="20">
        <v>1443591.5999999999</v>
      </c>
      <c r="W72" s="20">
        <v>240598.6</v>
      </c>
      <c r="X72" s="17">
        <v>45494</v>
      </c>
      <c r="Y72" s="13" t="s">
        <v>3</v>
      </c>
      <c r="Z72" s="13" t="s">
        <v>2</v>
      </c>
      <c r="AA72" s="13" t="s">
        <v>1258</v>
      </c>
      <c r="AB72" s="13" t="s">
        <v>4</v>
      </c>
      <c r="AC72" s="13" t="s">
        <v>3</v>
      </c>
      <c r="AD72" s="13" t="s">
        <v>1258</v>
      </c>
      <c r="AE72" s="19">
        <v>3831256</v>
      </c>
      <c r="AF72" s="36">
        <v>2298753.6</v>
      </c>
    </row>
    <row r="73" spans="1:32" x14ac:dyDescent="0.35">
      <c r="A73" s="34">
        <v>65402798600</v>
      </c>
      <c r="B73" s="13" t="s">
        <v>1266</v>
      </c>
      <c r="C73" s="13">
        <v>36277119615</v>
      </c>
      <c r="D73" s="13" t="s">
        <v>41</v>
      </c>
      <c r="E73" s="67" t="s">
        <v>58</v>
      </c>
      <c r="F73" s="13" t="s">
        <v>134</v>
      </c>
      <c r="G73" s="13" t="s">
        <v>463</v>
      </c>
      <c r="H73" s="13" t="s">
        <v>4</v>
      </c>
      <c r="I73" s="15">
        <v>0.6</v>
      </c>
      <c r="J73" s="16">
        <v>45134</v>
      </c>
      <c r="K73" s="17">
        <f t="shared" si="1"/>
        <v>45684</v>
      </c>
      <c r="L73" s="13" t="s">
        <v>464</v>
      </c>
      <c r="M73" s="17"/>
      <c r="N73" s="17"/>
      <c r="O73" s="13"/>
      <c r="P73" s="18"/>
      <c r="Q73" s="17"/>
      <c r="R73" s="13"/>
      <c r="S73" s="13" t="s">
        <v>544</v>
      </c>
      <c r="T73" s="13" t="s">
        <v>947</v>
      </c>
      <c r="U73" s="19">
        <v>3831256</v>
      </c>
      <c r="V73" s="20">
        <v>2298753.6</v>
      </c>
      <c r="W73" s="20">
        <v>383125.60000000003</v>
      </c>
      <c r="X73" s="17">
        <v>45420</v>
      </c>
      <c r="Y73" s="13" t="s">
        <v>4</v>
      </c>
      <c r="Z73" s="13" t="s">
        <v>1258</v>
      </c>
      <c r="AA73" s="13" t="s">
        <v>1258</v>
      </c>
      <c r="AB73" s="13" t="s">
        <v>4</v>
      </c>
      <c r="AC73" s="13" t="s">
        <v>4</v>
      </c>
      <c r="AD73" s="13" t="s">
        <v>1259</v>
      </c>
      <c r="AE73" s="19">
        <v>5724845</v>
      </c>
      <c r="AF73" s="36">
        <v>3434907</v>
      </c>
    </row>
    <row r="74" spans="1:32" x14ac:dyDescent="0.35">
      <c r="A74" s="34">
        <v>66645819344</v>
      </c>
      <c r="B74" s="13" t="s">
        <v>1266</v>
      </c>
      <c r="C74" s="13">
        <v>70977704120</v>
      </c>
      <c r="D74" s="13" t="s">
        <v>41</v>
      </c>
      <c r="E74" s="67" t="s">
        <v>55</v>
      </c>
      <c r="F74" s="13" t="s">
        <v>135</v>
      </c>
      <c r="G74" s="13" t="s">
        <v>463</v>
      </c>
      <c r="H74" s="13" t="s">
        <v>3</v>
      </c>
      <c r="I74" s="15">
        <v>0.6</v>
      </c>
      <c r="J74" s="16">
        <v>45076</v>
      </c>
      <c r="K74" s="17">
        <f t="shared" si="1"/>
        <v>45626</v>
      </c>
      <c r="L74" s="13" t="s">
        <v>464</v>
      </c>
      <c r="M74" s="17"/>
      <c r="N74" s="17"/>
      <c r="O74" s="13"/>
      <c r="P74" s="18"/>
      <c r="Q74" s="17"/>
      <c r="R74" s="13"/>
      <c r="S74" s="13" t="s">
        <v>545</v>
      </c>
      <c r="T74" s="13" t="s">
        <v>948</v>
      </c>
      <c r="U74" s="19">
        <v>5724845</v>
      </c>
      <c r="V74" s="20">
        <v>3434907</v>
      </c>
      <c r="W74" s="20">
        <v>572484.5</v>
      </c>
      <c r="X74" s="17">
        <v>45428</v>
      </c>
      <c r="Y74" s="13" t="s">
        <v>3</v>
      </c>
      <c r="Z74" s="13" t="s">
        <v>1258</v>
      </c>
      <c r="AA74" s="13" t="s">
        <v>1258</v>
      </c>
      <c r="AB74" s="13" t="s">
        <v>4</v>
      </c>
      <c r="AC74" s="13" t="s">
        <v>3</v>
      </c>
      <c r="AD74" s="13" t="s">
        <v>1259</v>
      </c>
      <c r="AE74" s="19">
        <v>8664372</v>
      </c>
      <c r="AF74" s="36">
        <v>5198623.2</v>
      </c>
    </row>
    <row r="75" spans="1:32" x14ac:dyDescent="0.35">
      <c r="A75" s="34">
        <v>17880150819</v>
      </c>
      <c r="B75" s="13" t="s">
        <v>1266</v>
      </c>
      <c r="C75" s="13">
        <v>41403139827</v>
      </c>
      <c r="D75" s="13" t="s">
        <v>41</v>
      </c>
      <c r="E75" s="67" t="s">
        <v>52</v>
      </c>
      <c r="F75" s="13" t="s">
        <v>136</v>
      </c>
      <c r="G75" s="13" t="s">
        <v>463</v>
      </c>
      <c r="H75" s="13" t="s">
        <v>4</v>
      </c>
      <c r="I75" s="15">
        <v>0.6</v>
      </c>
      <c r="J75" s="16">
        <v>45085</v>
      </c>
      <c r="K75" s="17">
        <f t="shared" si="1"/>
        <v>45634</v>
      </c>
      <c r="L75" s="13" t="s">
        <v>465</v>
      </c>
      <c r="M75" s="17">
        <v>45143</v>
      </c>
      <c r="N75" s="17">
        <v>45300</v>
      </c>
      <c r="O75" s="13" t="s">
        <v>470</v>
      </c>
      <c r="P75" s="18" t="s">
        <v>471</v>
      </c>
      <c r="Q75" s="17">
        <v>45518</v>
      </c>
      <c r="R75" s="13"/>
      <c r="S75" s="13" t="s">
        <v>546</v>
      </c>
      <c r="T75" s="13" t="s">
        <v>949</v>
      </c>
      <c r="U75" s="19">
        <v>8664372</v>
      </c>
      <c r="V75" s="20">
        <v>5198623.2</v>
      </c>
      <c r="W75" s="20">
        <v>866437.20000000007</v>
      </c>
      <c r="X75" s="17">
        <v>45539</v>
      </c>
      <c r="Y75" s="13" t="s">
        <v>4</v>
      </c>
      <c r="Z75" s="13" t="s">
        <v>1258</v>
      </c>
      <c r="AA75" s="13" t="s">
        <v>1258</v>
      </c>
      <c r="AB75" s="13" t="s">
        <v>4</v>
      </c>
      <c r="AC75" s="13" t="s">
        <v>4</v>
      </c>
      <c r="AD75" s="13" t="s">
        <v>1259</v>
      </c>
      <c r="AE75" s="19">
        <v>3147106</v>
      </c>
      <c r="AF75" s="36">
        <v>1888263.5999999999</v>
      </c>
    </row>
    <row r="76" spans="1:32" x14ac:dyDescent="0.35">
      <c r="A76" s="34">
        <v>71705974179</v>
      </c>
      <c r="B76" s="13" t="s">
        <v>1266</v>
      </c>
      <c r="C76" s="13">
        <v>41094747903</v>
      </c>
      <c r="D76" s="13" t="s">
        <v>50</v>
      </c>
      <c r="E76" s="67" t="s">
        <v>57</v>
      </c>
      <c r="F76" s="13" t="s">
        <v>137</v>
      </c>
      <c r="G76" s="13" t="s">
        <v>462</v>
      </c>
      <c r="H76" s="13" t="s">
        <v>3</v>
      </c>
      <c r="I76" s="15">
        <v>0.6</v>
      </c>
      <c r="J76" s="16">
        <v>44933</v>
      </c>
      <c r="K76" s="17">
        <f t="shared" si="1"/>
        <v>45480</v>
      </c>
      <c r="L76" s="13" t="s">
        <v>465</v>
      </c>
      <c r="M76" s="17">
        <v>45118</v>
      </c>
      <c r="N76" s="17">
        <v>45025</v>
      </c>
      <c r="O76" s="13" t="s">
        <v>468</v>
      </c>
      <c r="P76" s="18" t="s">
        <v>471</v>
      </c>
      <c r="Q76" s="17">
        <v>45618</v>
      </c>
      <c r="R76" s="13"/>
      <c r="S76" s="13" t="s">
        <v>547</v>
      </c>
      <c r="T76" s="13" t="s">
        <v>950</v>
      </c>
      <c r="U76" s="19">
        <v>3147106</v>
      </c>
      <c r="V76" s="20">
        <v>1888263.5999999999</v>
      </c>
      <c r="W76" s="20">
        <v>314710.60000000003</v>
      </c>
      <c r="X76" s="17">
        <v>45532</v>
      </c>
      <c r="Y76" s="13" t="s">
        <v>3</v>
      </c>
      <c r="Z76" s="13" t="s">
        <v>2</v>
      </c>
      <c r="AA76" s="13" t="s">
        <v>1258</v>
      </c>
      <c r="AB76" s="13" t="s">
        <v>3</v>
      </c>
      <c r="AC76" s="13" t="s">
        <v>3</v>
      </c>
      <c r="AD76" s="13" t="s">
        <v>1258</v>
      </c>
      <c r="AE76" s="19">
        <v>7094791</v>
      </c>
      <c r="AF76" s="36">
        <v>4256874.5999999996</v>
      </c>
    </row>
    <row r="77" spans="1:32" x14ac:dyDescent="0.35">
      <c r="A77" s="34">
        <v>36286582587</v>
      </c>
      <c r="B77" s="13" t="s">
        <v>1266</v>
      </c>
      <c r="C77" s="13">
        <v>90561411640</v>
      </c>
      <c r="D77" s="13" t="s">
        <v>41</v>
      </c>
      <c r="E77" s="67" t="s">
        <v>57</v>
      </c>
      <c r="F77" s="13" t="s">
        <v>138</v>
      </c>
      <c r="G77" s="13" t="s">
        <v>462</v>
      </c>
      <c r="H77" s="13" t="s">
        <v>3</v>
      </c>
      <c r="I77" s="15">
        <v>0.6</v>
      </c>
      <c r="J77" s="16">
        <v>45264</v>
      </c>
      <c r="K77" s="17">
        <f t="shared" si="1"/>
        <v>45812</v>
      </c>
      <c r="L77" s="13" t="s">
        <v>464</v>
      </c>
      <c r="M77" s="17"/>
      <c r="N77" s="17"/>
      <c r="O77" s="13"/>
      <c r="P77" s="18"/>
      <c r="Q77" s="17"/>
      <c r="R77" s="13"/>
      <c r="S77" s="13" t="s">
        <v>548</v>
      </c>
      <c r="T77" s="13" t="s">
        <v>951</v>
      </c>
      <c r="U77" s="19">
        <v>7094791</v>
      </c>
      <c r="V77" s="20">
        <v>4256874.5999999996</v>
      </c>
      <c r="W77" s="20">
        <v>709479.10000000009</v>
      </c>
      <c r="X77" s="17">
        <v>45389</v>
      </c>
      <c r="Y77" s="13" t="s">
        <v>3</v>
      </c>
      <c r="Z77" s="13" t="s">
        <v>1258</v>
      </c>
      <c r="AA77" s="13" t="s">
        <v>1258</v>
      </c>
      <c r="AB77" s="13" t="s">
        <v>3</v>
      </c>
      <c r="AC77" s="13" t="s">
        <v>3</v>
      </c>
      <c r="AD77" s="13" t="s">
        <v>1259</v>
      </c>
      <c r="AE77" s="19">
        <v>3344274</v>
      </c>
      <c r="AF77" s="36">
        <v>2006564.4</v>
      </c>
    </row>
    <row r="78" spans="1:32" x14ac:dyDescent="0.35">
      <c r="A78" s="34">
        <v>54071528400</v>
      </c>
      <c r="B78" s="13" t="s">
        <v>1266</v>
      </c>
      <c r="C78" s="13">
        <v>45578714641</v>
      </c>
      <c r="D78" s="13" t="s">
        <v>46</v>
      </c>
      <c r="E78" s="67" t="s">
        <v>52</v>
      </c>
      <c r="F78" s="13" t="s">
        <v>139</v>
      </c>
      <c r="G78" s="13" t="s">
        <v>462</v>
      </c>
      <c r="H78" s="13" t="s">
        <v>3</v>
      </c>
      <c r="I78" s="15">
        <v>0.7</v>
      </c>
      <c r="J78" s="16">
        <v>45099</v>
      </c>
      <c r="K78" s="17">
        <f t="shared" si="1"/>
        <v>45648</v>
      </c>
      <c r="L78" s="13" t="s">
        <v>464</v>
      </c>
      <c r="M78" s="17"/>
      <c r="N78" s="17"/>
      <c r="O78" s="13"/>
      <c r="P78" s="18"/>
      <c r="Q78" s="17"/>
      <c r="R78" s="13"/>
      <c r="S78" s="13" t="s">
        <v>549</v>
      </c>
      <c r="T78" s="13" t="s">
        <v>952</v>
      </c>
      <c r="U78" s="19">
        <v>3344274</v>
      </c>
      <c r="V78" s="20">
        <v>2006564.4</v>
      </c>
      <c r="W78" s="20">
        <v>334427.40000000002</v>
      </c>
      <c r="X78" s="17">
        <v>45525</v>
      </c>
      <c r="Y78" s="13" t="s">
        <v>3</v>
      </c>
      <c r="Z78" s="13" t="s">
        <v>2</v>
      </c>
      <c r="AA78" s="13" t="s">
        <v>1258</v>
      </c>
      <c r="AB78" s="13" t="s">
        <v>4</v>
      </c>
      <c r="AC78" s="13" t="s">
        <v>3</v>
      </c>
      <c r="AD78" s="13" t="s">
        <v>1259</v>
      </c>
      <c r="AE78" s="19">
        <v>3255324</v>
      </c>
      <c r="AF78" s="36">
        <v>1953194.4</v>
      </c>
    </row>
    <row r="79" spans="1:32" x14ac:dyDescent="0.35">
      <c r="A79" s="34">
        <v>46854361639</v>
      </c>
      <c r="B79" s="13" t="s">
        <v>1266</v>
      </c>
      <c r="C79" s="13">
        <v>75617376978</v>
      </c>
      <c r="D79" s="13" t="s">
        <v>42</v>
      </c>
      <c r="E79" s="67" t="s">
        <v>57</v>
      </c>
      <c r="F79" s="13" t="s">
        <v>140</v>
      </c>
      <c r="G79" s="13" t="s">
        <v>462</v>
      </c>
      <c r="H79" s="13" t="s">
        <v>4</v>
      </c>
      <c r="I79" s="15">
        <v>0.7</v>
      </c>
      <c r="J79" s="16">
        <v>44979</v>
      </c>
      <c r="K79" s="17">
        <f t="shared" si="1"/>
        <v>45526</v>
      </c>
      <c r="L79" s="13" t="s">
        <v>464</v>
      </c>
      <c r="M79" s="17"/>
      <c r="N79" s="17"/>
      <c r="O79" s="13"/>
      <c r="P79" s="18"/>
      <c r="Q79" s="17"/>
      <c r="R79" s="13"/>
      <c r="S79" s="13" t="s">
        <v>550</v>
      </c>
      <c r="T79" s="13" t="s">
        <v>953</v>
      </c>
      <c r="U79" s="19">
        <v>3255324</v>
      </c>
      <c r="V79" s="20">
        <v>1953194.4</v>
      </c>
      <c r="W79" s="20">
        <v>325532.40000000002</v>
      </c>
      <c r="X79" s="17">
        <v>45655</v>
      </c>
      <c r="Y79" s="13" t="s">
        <v>4</v>
      </c>
      <c r="Z79" s="13" t="s">
        <v>1258</v>
      </c>
      <c r="AA79" s="13" t="s">
        <v>1258</v>
      </c>
      <c r="AB79" s="13" t="s">
        <v>4</v>
      </c>
      <c r="AC79" s="13" t="s">
        <v>4</v>
      </c>
      <c r="AD79" s="13" t="s">
        <v>1259</v>
      </c>
      <c r="AE79" s="19">
        <v>2968618</v>
      </c>
      <c r="AF79" s="36">
        <v>1781170.8</v>
      </c>
    </row>
    <row r="80" spans="1:32" x14ac:dyDescent="0.35">
      <c r="A80" s="34">
        <v>79321983478</v>
      </c>
      <c r="B80" s="13" t="s">
        <v>1266</v>
      </c>
      <c r="C80" s="13">
        <v>71758415177</v>
      </c>
      <c r="D80" s="13" t="s">
        <v>49</v>
      </c>
      <c r="E80" s="67" t="s">
        <v>54</v>
      </c>
      <c r="F80" s="13" t="s">
        <v>141</v>
      </c>
      <c r="G80" s="13" t="s">
        <v>463</v>
      </c>
      <c r="H80" s="13" t="s">
        <v>3</v>
      </c>
      <c r="I80" s="15">
        <v>0.6</v>
      </c>
      <c r="J80" s="16">
        <v>45003</v>
      </c>
      <c r="K80" s="17">
        <f t="shared" si="1"/>
        <v>45553</v>
      </c>
      <c r="L80" s="13" t="s">
        <v>464</v>
      </c>
      <c r="M80" s="17"/>
      <c r="N80" s="17"/>
      <c r="O80" s="13"/>
      <c r="P80" s="18"/>
      <c r="Q80" s="17"/>
      <c r="R80" s="13"/>
      <c r="S80" s="13" t="s">
        <v>551</v>
      </c>
      <c r="T80" s="13" t="s">
        <v>954</v>
      </c>
      <c r="U80" s="19">
        <v>2968618</v>
      </c>
      <c r="V80" s="20">
        <v>1781170.8</v>
      </c>
      <c r="W80" s="20">
        <v>296861.8</v>
      </c>
      <c r="X80" s="17">
        <v>45448</v>
      </c>
      <c r="Y80" s="13" t="s">
        <v>3</v>
      </c>
      <c r="Z80" s="13" t="s">
        <v>2</v>
      </c>
      <c r="AA80" s="13" t="s">
        <v>1258</v>
      </c>
      <c r="AB80" s="13" t="s">
        <v>4</v>
      </c>
      <c r="AC80" s="13" t="s">
        <v>3</v>
      </c>
      <c r="AD80" s="13" t="s">
        <v>1258</v>
      </c>
      <c r="AE80" s="19">
        <v>5256007</v>
      </c>
      <c r="AF80" s="36">
        <v>3153604.1999999997</v>
      </c>
    </row>
    <row r="81" spans="1:32" x14ac:dyDescent="0.35">
      <c r="A81" s="34">
        <v>67860317650</v>
      </c>
      <c r="B81" s="13" t="s">
        <v>1266</v>
      </c>
      <c r="C81" s="13">
        <v>89442513987</v>
      </c>
      <c r="D81" s="13" t="s">
        <v>41</v>
      </c>
      <c r="E81" s="67" t="s">
        <v>54</v>
      </c>
      <c r="F81" s="13" t="s">
        <v>142</v>
      </c>
      <c r="G81" s="13" t="s">
        <v>462</v>
      </c>
      <c r="H81" s="13" t="s">
        <v>4</v>
      </c>
      <c r="I81" s="15">
        <v>0.6</v>
      </c>
      <c r="J81" s="16">
        <v>45005</v>
      </c>
      <c r="K81" s="17">
        <f t="shared" si="1"/>
        <v>45555</v>
      </c>
      <c r="L81" s="13" t="s">
        <v>464</v>
      </c>
      <c r="M81" s="17"/>
      <c r="N81" s="17"/>
      <c r="O81" s="13"/>
      <c r="P81" s="18"/>
      <c r="Q81" s="17"/>
      <c r="R81" s="13"/>
      <c r="S81" s="13" t="s">
        <v>552</v>
      </c>
      <c r="T81" s="13" t="s">
        <v>955</v>
      </c>
      <c r="U81" s="19">
        <v>5256007</v>
      </c>
      <c r="V81" s="20">
        <v>3153604.1999999997</v>
      </c>
      <c r="W81" s="20">
        <v>525600.70000000007</v>
      </c>
      <c r="X81" s="17">
        <v>45575</v>
      </c>
      <c r="Y81" s="13" t="s">
        <v>4</v>
      </c>
      <c r="Z81" s="13" t="s">
        <v>2</v>
      </c>
      <c r="AA81" s="13" t="s">
        <v>1258</v>
      </c>
      <c r="AB81" s="13" t="s">
        <v>3</v>
      </c>
      <c r="AC81" s="13" t="s">
        <v>4</v>
      </c>
      <c r="AD81" s="13" t="s">
        <v>1259</v>
      </c>
      <c r="AE81" s="19">
        <v>1429498</v>
      </c>
      <c r="AF81" s="36">
        <v>857698.79999999993</v>
      </c>
    </row>
    <row r="82" spans="1:32" x14ac:dyDescent="0.35">
      <c r="A82" s="34">
        <v>83860841803</v>
      </c>
      <c r="B82" s="13" t="s">
        <v>1266</v>
      </c>
      <c r="C82" s="13">
        <v>36741722297</v>
      </c>
      <c r="D82" s="13" t="s">
        <v>47</v>
      </c>
      <c r="E82" s="67" t="s">
        <v>52</v>
      </c>
      <c r="F82" s="13" t="s">
        <v>143</v>
      </c>
      <c r="G82" s="13" t="s">
        <v>463</v>
      </c>
      <c r="H82" s="13" t="s">
        <v>3</v>
      </c>
      <c r="I82" s="15">
        <v>0.6</v>
      </c>
      <c r="J82" s="16">
        <v>45284</v>
      </c>
      <c r="K82" s="17">
        <f t="shared" si="1"/>
        <v>45832</v>
      </c>
      <c r="L82" s="13" t="s">
        <v>464</v>
      </c>
      <c r="M82" s="17"/>
      <c r="N82" s="17"/>
      <c r="O82" s="13"/>
      <c r="P82" s="18"/>
      <c r="Q82" s="17"/>
      <c r="R82" s="13"/>
      <c r="S82" s="13" t="s">
        <v>553</v>
      </c>
      <c r="T82" s="13" t="s">
        <v>956</v>
      </c>
      <c r="U82" s="19">
        <v>1429498</v>
      </c>
      <c r="V82" s="20">
        <v>857698.79999999993</v>
      </c>
      <c r="W82" s="20">
        <v>142949.80000000002</v>
      </c>
      <c r="X82" s="17">
        <v>45378</v>
      </c>
      <c r="Y82" s="13" t="s">
        <v>3</v>
      </c>
      <c r="Z82" s="13" t="s">
        <v>2</v>
      </c>
      <c r="AA82" s="13" t="s">
        <v>1258</v>
      </c>
      <c r="AB82" s="13" t="s">
        <v>3</v>
      </c>
      <c r="AC82" s="13" t="s">
        <v>3</v>
      </c>
      <c r="AD82" s="13" t="s">
        <v>1259</v>
      </c>
      <c r="AE82" s="19">
        <v>5410634</v>
      </c>
      <c r="AF82" s="36">
        <v>3246380.4</v>
      </c>
    </row>
    <row r="83" spans="1:32" x14ac:dyDescent="0.35">
      <c r="A83" s="34">
        <v>70723071738</v>
      </c>
      <c r="B83" s="13" t="s">
        <v>1266</v>
      </c>
      <c r="C83" s="13">
        <v>25104890872</v>
      </c>
      <c r="D83" s="13" t="s">
        <v>45</v>
      </c>
      <c r="E83" s="67" t="s">
        <v>51</v>
      </c>
      <c r="F83" s="13" t="s">
        <v>144</v>
      </c>
      <c r="G83" s="13" t="s">
        <v>463</v>
      </c>
      <c r="H83" s="13" t="s">
        <v>3</v>
      </c>
      <c r="I83" s="15">
        <v>0.6</v>
      </c>
      <c r="J83" s="16">
        <v>45092</v>
      </c>
      <c r="K83" s="17">
        <f t="shared" si="1"/>
        <v>45641</v>
      </c>
      <c r="L83" s="13" t="s">
        <v>465</v>
      </c>
      <c r="M83" s="17">
        <v>45233</v>
      </c>
      <c r="N83" s="17">
        <v>45202</v>
      </c>
      <c r="O83" s="13" t="s">
        <v>468</v>
      </c>
      <c r="P83" s="18" t="s">
        <v>471</v>
      </c>
      <c r="Q83" s="17">
        <v>45350</v>
      </c>
      <c r="R83" s="13"/>
      <c r="S83" s="13" t="s">
        <v>554</v>
      </c>
      <c r="T83" s="13" t="s">
        <v>957</v>
      </c>
      <c r="U83" s="19">
        <v>5410634</v>
      </c>
      <c r="V83" s="20">
        <v>3246380.4</v>
      </c>
      <c r="W83" s="20">
        <v>541063.4</v>
      </c>
      <c r="X83" s="17">
        <v>45429</v>
      </c>
      <c r="Y83" s="13" t="s">
        <v>3</v>
      </c>
      <c r="Z83" s="13" t="s">
        <v>2</v>
      </c>
      <c r="AA83" s="13" t="s">
        <v>1258</v>
      </c>
      <c r="AB83" s="13" t="s">
        <v>3</v>
      </c>
      <c r="AC83" s="13" t="s">
        <v>3</v>
      </c>
      <c r="AD83" s="13" t="s">
        <v>1259</v>
      </c>
      <c r="AE83" s="19">
        <v>9390289</v>
      </c>
      <c r="AF83" s="36">
        <v>5634173.3999999994</v>
      </c>
    </row>
    <row r="84" spans="1:32" x14ac:dyDescent="0.35">
      <c r="A84" s="34">
        <v>38642081553</v>
      </c>
      <c r="B84" s="13" t="s">
        <v>1266</v>
      </c>
      <c r="C84" s="13">
        <v>80145661817</v>
      </c>
      <c r="D84" s="13" t="s">
        <v>49</v>
      </c>
      <c r="E84" s="67" t="s">
        <v>52</v>
      </c>
      <c r="F84" s="13" t="s">
        <v>145</v>
      </c>
      <c r="G84" s="13" t="s">
        <v>462</v>
      </c>
      <c r="H84" s="13" t="s">
        <v>4</v>
      </c>
      <c r="I84" s="15">
        <v>0.6</v>
      </c>
      <c r="J84" s="16">
        <v>45029</v>
      </c>
      <c r="K84" s="17">
        <f t="shared" si="1"/>
        <v>45578</v>
      </c>
      <c r="L84" s="13" t="s">
        <v>464</v>
      </c>
      <c r="M84" s="17"/>
      <c r="N84" s="17"/>
      <c r="O84" s="13"/>
      <c r="P84" s="18"/>
      <c r="Q84" s="17"/>
      <c r="R84" s="13"/>
      <c r="S84" s="13" t="s">
        <v>555</v>
      </c>
      <c r="T84" s="13" t="s">
        <v>958</v>
      </c>
      <c r="U84" s="19">
        <v>9390289</v>
      </c>
      <c r="V84" s="20">
        <v>5634173.3999999994</v>
      </c>
      <c r="W84" s="20">
        <v>939028.9</v>
      </c>
      <c r="X84" s="17">
        <v>45446</v>
      </c>
      <c r="Y84" s="13" t="s">
        <v>4</v>
      </c>
      <c r="Z84" s="13" t="s">
        <v>2</v>
      </c>
      <c r="AA84" s="13" t="s">
        <v>1258</v>
      </c>
      <c r="AB84" s="13" t="s">
        <v>3</v>
      </c>
      <c r="AC84" s="13" t="s">
        <v>4</v>
      </c>
      <c r="AD84" s="13" t="s">
        <v>1259</v>
      </c>
      <c r="AE84" s="19">
        <v>6921565</v>
      </c>
      <c r="AF84" s="36">
        <v>4152939</v>
      </c>
    </row>
    <row r="85" spans="1:32" x14ac:dyDescent="0.35">
      <c r="A85" s="34">
        <v>61939387669</v>
      </c>
      <c r="B85" s="13" t="s">
        <v>1266</v>
      </c>
      <c r="C85" s="13">
        <v>32912319874</v>
      </c>
      <c r="D85" s="13" t="s">
        <v>42</v>
      </c>
      <c r="E85" s="67" t="s">
        <v>58</v>
      </c>
      <c r="F85" s="13" t="s">
        <v>146</v>
      </c>
      <c r="G85" s="13" t="s">
        <v>462</v>
      </c>
      <c r="H85" s="13" t="s">
        <v>4</v>
      </c>
      <c r="I85" s="15">
        <v>0.6</v>
      </c>
      <c r="J85" s="16">
        <v>45207</v>
      </c>
      <c r="K85" s="17">
        <f t="shared" si="1"/>
        <v>45755</v>
      </c>
      <c r="L85" s="13" t="s">
        <v>464</v>
      </c>
      <c r="M85" s="17"/>
      <c r="N85" s="17"/>
      <c r="O85" s="13"/>
      <c r="P85" s="18"/>
      <c r="Q85" s="17"/>
      <c r="R85" s="13"/>
      <c r="S85" s="13" t="s">
        <v>556</v>
      </c>
      <c r="T85" s="13" t="s">
        <v>959</v>
      </c>
      <c r="U85" s="19">
        <v>6921565</v>
      </c>
      <c r="V85" s="20">
        <v>4152939</v>
      </c>
      <c r="W85" s="20">
        <v>692156.5</v>
      </c>
      <c r="X85" s="17">
        <v>45617</v>
      </c>
      <c r="Y85" s="13" t="s">
        <v>4</v>
      </c>
      <c r="Z85" s="13" t="s">
        <v>2</v>
      </c>
      <c r="AA85" s="13" t="s">
        <v>1258</v>
      </c>
      <c r="AB85" s="13" t="s">
        <v>3</v>
      </c>
      <c r="AC85" s="13" t="s">
        <v>4</v>
      </c>
      <c r="AD85" s="13" t="s">
        <v>1259</v>
      </c>
      <c r="AE85" s="19">
        <v>2523860</v>
      </c>
      <c r="AF85" s="36">
        <v>1514316</v>
      </c>
    </row>
    <row r="86" spans="1:32" x14ac:dyDescent="0.35">
      <c r="A86" s="34">
        <v>50395812437</v>
      </c>
      <c r="B86" s="13" t="s">
        <v>1266</v>
      </c>
      <c r="C86" s="13">
        <v>66055044883</v>
      </c>
      <c r="D86" s="13" t="s">
        <v>45</v>
      </c>
      <c r="E86" s="67" t="s">
        <v>57</v>
      </c>
      <c r="F86" s="13" t="s">
        <v>147</v>
      </c>
      <c r="G86" s="13" t="s">
        <v>462</v>
      </c>
      <c r="H86" s="13" t="s">
        <v>3</v>
      </c>
      <c r="I86" s="15">
        <v>0.6</v>
      </c>
      <c r="J86" s="16">
        <v>45165</v>
      </c>
      <c r="K86" s="17">
        <f t="shared" si="1"/>
        <v>45715</v>
      </c>
      <c r="L86" s="13" t="s">
        <v>465</v>
      </c>
      <c r="M86" s="17">
        <v>45219</v>
      </c>
      <c r="N86" s="17">
        <v>45202</v>
      </c>
      <c r="O86" s="13" t="s">
        <v>470</v>
      </c>
      <c r="P86" s="18" t="s">
        <v>469</v>
      </c>
      <c r="Q86" s="17">
        <v>45540</v>
      </c>
      <c r="R86" s="13"/>
      <c r="S86" s="13" t="s">
        <v>557</v>
      </c>
      <c r="T86" s="13" t="s">
        <v>960</v>
      </c>
      <c r="U86" s="19">
        <v>2523860</v>
      </c>
      <c r="V86" s="20">
        <v>1514316</v>
      </c>
      <c r="W86" s="20">
        <v>252386</v>
      </c>
      <c r="X86" s="17">
        <v>45397</v>
      </c>
      <c r="Y86" s="13" t="s">
        <v>3</v>
      </c>
      <c r="Z86" s="13" t="s">
        <v>1258</v>
      </c>
      <c r="AA86" s="13" t="s">
        <v>1258</v>
      </c>
      <c r="AB86" s="13" t="s">
        <v>4</v>
      </c>
      <c r="AC86" s="13" t="s">
        <v>3</v>
      </c>
      <c r="AD86" s="13" t="s">
        <v>1259</v>
      </c>
      <c r="AE86" s="19">
        <v>4330268</v>
      </c>
      <c r="AF86" s="36">
        <v>2598160.7999999998</v>
      </c>
    </row>
    <row r="87" spans="1:32" x14ac:dyDescent="0.35">
      <c r="A87" s="34">
        <v>38964319571</v>
      </c>
      <c r="B87" s="13" t="s">
        <v>1266</v>
      </c>
      <c r="C87" s="13">
        <v>98191688656</v>
      </c>
      <c r="D87" s="13" t="s">
        <v>42</v>
      </c>
      <c r="E87" s="67" t="s">
        <v>59</v>
      </c>
      <c r="F87" s="13" t="s">
        <v>148</v>
      </c>
      <c r="G87" s="13" t="s">
        <v>463</v>
      </c>
      <c r="H87" s="13" t="s">
        <v>4</v>
      </c>
      <c r="I87" s="15">
        <v>0.6</v>
      </c>
      <c r="J87" s="16">
        <v>45261</v>
      </c>
      <c r="K87" s="17">
        <f t="shared" si="1"/>
        <v>45809</v>
      </c>
      <c r="L87" s="13" t="s">
        <v>465</v>
      </c>
      <c r="M87" s="17">
        <v>45214</v>
      </c>
      <c r="N87" s="17">
        <v>45272</v>
      </c>
      <c r="O87" s="13" t="s">
        <v>468</v>
      </c>
      <c r="P87" s="18" t="s">
        <v>471</v>
      </c>
      <c r="Q87" s="17">
        <v>45337</v>
      </c>
      <c r="R87" s="13"/>
      <c r="S87" s="13" t="s">
        <v>558</v>
      </c>
      <c r="T87" s="13" t="s">
        <v>961</v>
      </c>
      <c r="U87" s="19">
        <v>4330268</v>
      </c>
      <c r="V87" s="20">
        <v>2598160.7999999998</v>
      </c>
      <c r="W87" s="20">
        <v>433026.80000000005</v>
      </c>
      <c r="X87" s="17">
        <v>45418</v>
      </c>
      <c r="Y87" s="13" t="s">
        <v>4</v>
      </c>
      <c r="Z87" s="13" t="s">
        <v>1258</v>
      </c>
      <c r="AA87" s="13" t="s">
        <v>1258</v>
      </c>
      <c r="AB87" s="13" t="s">
        <v>3</v>
      </c>
      <c r="AC87" s="13" t="s">
        <v>4</v>
      </c>
      <c r="AD87" s="13" t="s">
        <v>1259</v>
      </c>
      <c r="AE87" s="19">
        <v>5611024</v>
      </c>
      <c r="AF87" s="36">
        <v>3366614.4</v>
      </c>
    </row>
    <row r="88" spans="1:32" x14ac:dyDescent="0.35">
      <c r="A88" s="34">
        <v>99137874472</v>
      </c>
      <c r="B88" s="13" t="s">
        <v>1266</v>
      </c>
      <c r="C88" s="13">
        <v>39055830149</v>
      </c>
      <c r="D88" s="13" t="s">
        <v>46</v>
      </c>
      <c r="E88" s="67" t="s">
        <v>53</v>
      </c>
      <c r="F88" s="13" t="s">
        <v>149</v>
      </c>
      <c r="G88" s="13" t="s">
        <v>462</v>
      </c>
      <c r="H88" s="13" t="s">
        <v>3</v>
      </c>
      <c r="I88" s="15">
        <v>0.6</v>
      </c>
      <c r="J88" s="16">
        <v>45257</v>
      </c>
      <c r="K88" s="17">
        <f t="shared" si="1"/>
        <v>45804</v>
      </c>
      <c r="L88" s="13" t="s">
        <v>465</v>
      </c>
      <c r="M88" s="17">
        <v>45246</v>
      </c>
      <c r="N88" s="17">
        <v>45294</v>
      </c>
      <c r="O88" s="13" t="s">
        <v>470</v>
      </c>
      <c r="P88" s="18" t="s">
        <v>471</v>
      </c>
      <c r="Q88" s="17">
        <v>45363</v>
      </c>
      <c r="R88" s="13"/>
      <c r="S88" s="13" t="s">
        <v>559</v>
      </c>
      <c r="T88" s="13" t="s">
        <v>962</v>
      </c>
      <c r="U88" s="19">
        <v>5611024</v>
      </c>
      <c r="V88" s="20">
        <v>3366614.4</v>
      </c>
      <c r="W88" s="20">
        <v>561102.4</v>
      </c>
      <c r="X88" s="17">
        <v>45389</v>
      </c>
      <c r="Y88" s="13" t="s">
        <v>3</v>
      </c>
      <c r="Z88" s="13" t="s">
        <v>2</v>
      </c>
      <c r="AA88" s="13" t="s">
        <v>1258</v>
      </c>
      <c r="AB88" s="13" t="s">
        <v>4</v>
      </c>
      <c r="AC88" s="13" t="s">
        <v>3</v>
      </c>
      <c r="AD88" s="13" t="s">
        <v>1259</v>
      </c>
      <c r="AE88" s="19">
        <v>6345944</v>
      </c>
      <c r="AF88" s="36">
        <v>3807566.4</v>
      </c>
    </row>
    <row r="89" spans="1:32" x14ac:dyDescent="0.35">
      <c r="A89" s="34">
        <v>22899084386</v>
      </c>
      <c r="B89" s="13" t="s">
        <v>1266</v>
      </c>
      <c r="C89" s="13">
        <v>20881957576</v>
      </c>
      <c r="D89" s="13" t="s">
        <v>44</v>
      </c>
      <c r="E89" s="67" t="s">
        <v>52</v>
      </c>
      <c r="F89" s="13" t="s">
        <v>150</v>
      </c>
      <c r="G89" s="13" t="s">
        <v>462</v>
      </c>
      <c r="H89" s="13" t="s">
        <v>3</v>
      </c>
      <c r="I89" s="15">
        <v>0.6</v>
      </c>
      <c r="J89" s="16">
        <v>45031</v>
      </c>
      <c r="K89" s="17">
        <f t="shared" si="1"/>
        <v>45580</v>
      </c>
      <c r="L89" s="13" t="s">
        <v>464</v>
      </c>
      <c r="M89" s="17"/>
      <c r="N89" s="17"/>
      <c r="O89" s="13"/>
      <c r="P89" s="18"/>
      <c r="Q89" s="17"/>
      <c r="R89" s="13"/>
      <c r="S89" s="13" t="s">
        <v>560</v>
      </c>
      <c r="T89" s="13" t="s">
        <v>963</v>
      </c>
      <c r="U89" s="19">
        <v>6345944</v>
      </c>
      <c r="V89" s="20">
        <v>3807566.4</v>
      </c>
      <c r="W89" s="20">
        <v>634594.4</v>
      </c>
      <c r="X89" s="17">
        <v>45443</v>
      </c>
      <c r="Y89" s="13" t="s">
        <v>3</v>
      </c>
      <c r="Z89" s="13" t="s">
        <v>2</v>
      </c>
      <c r="AA89" s="13" t="s">
        <v>1258</v>
      </c>
      <c r="AB89" s="13" t="s">
        <v>3</v>
      </c>
      <c r="AC89" s="13" t="s">
        <v>3</v>
      </c>
      <c r="AD89" s="13" t="s">
        <v>1258</v>
      </c>
      <c r="AE89" s="19">
        <v>3293219</v>
      </c>
      <c r="AF89" s="36">
        <v>1975931.4</v>
      </c>
    </row>
    <row r="90" spans="1:32" x14ac:dyDescent="0.35">
      <c r="A90" s="34">
        <v>54346438745</v>
      </c>
      <c r="B90" s="13" t="s">
        <v>1266</v>
      </c>
      <c r="C90" s="13">
        <v>91612484409</v>
      </c>
      <c r="D90" s="13" t="s">
        <v>49</v>
      </c>
      <c r="E90" s="67" t="s">
        <v>57</v>
      </c>
      <c r="F90" s="13" t="s">
        <v>151</v>
      </c>
      <c r="G90" s="13" t="s">
        <v>462</v>
      </c>
      <c r="H90" s="13" t="s">
        <v>4</v>
      </c>
      <c r="I90" s="15">
        <v>0.6</v>
      </c>
      <c r="J90" s="16">
        <v>45254</v>
      </c>
      <c r="K90" s="17">
        <f t="shared" si="1"/>
        <v>45801</v>
      </c>
      <c r="L90" s="13" t="s">
        <v>464</v>
      </c>
      <c r="M90" s="17"/>
      <c r="N90" s="17"/>
      <c r="O90" s="13"/>
      <c r="P90" s="18"/>
      <c r="Q90" s="17"/>
      <c r="R90" s="13"/>
      <c r="S90" s="13" t="s">
        <v>561</v>
      </c>
      <c r="T90" s="13" t="s">
        <v>964</v>
      </c>
      <c r="U90" s="19">
        <v>3293219</v>
      </c>
      <c r="V90" s="20">
        <v>1975931.4</v>
      </c>
      <c r="W90" s="20">
        <v>329321.90000000002</v>
      </c>
      <c r="X90" s="17">
        <v>45609</v>
      </c>
      <c r="Y90" s="13" t="s">
        <v>4</v>
      </c>
      <c r="Z90" s="13" t="s">
        <v>2</v>
      </c>
      <c r="AA90" s="13" t="s">
        <v>1258</v>
      </c>
      <c r="AB90" s="13" t="s">
        <v>4</v>
      </c>
      <c r="AC90" s="13" t="s">
        <v>4</v>
      </c>
      <c r="AD90" s="13" t="s">
        <v>1258</v>
      </c>
      <c r="AE90" s="19">
        <v>8108758</v>
      </c>
      <c r="AF90" s="36">
        <v>4865254.8</v>
      </c>
    </row>
    <row r="91" spans="1:32" x14ac:dyDescent="0.35">
      <c r="A91" s="34">
        <v>44875852698</v>
      </c>
      <c r="B91" s="13" t="s">
        <v>1266</v>
      </c>
      <c r="C91" s="13">
        <v>13799388703</v>
      </c>
      <c r="D91" s="13" t="s">
        <v>42</v>
      </c>
      <c r="E91" s="67" t="s">
        <v>57</v>
      </c>
      <c r="F91" s="13" t="s">
        <v>152</v>
      </c>
      <c r="G91" s="13" t="s">
        <v>462</v>
      </c>
      <c r="H91" s="13" t="s">
        <v>4</v>
      </c>
      <c r="I91" s="15">
        <v>0.6</v>
      </c>
      <c r="J91" s="16">
        <v>44970</v>
      </c>
      <c r="K91" s="17">
        <f t="shared" si="1"/>
        <v>45517</v>
      </c>
      <c r="L91" s="13" t="s">
        <v>464</v>
      </c>
      <c r="M91" s="17"/>
      <c r="N91" s="17"/>
      <c r="O91" s="13"/>
      <c r="P91" s="18"/>
      <c r="Q91" s="17"/>
      <c r="R91" s="13"/>
      <c r="S91" s="13" t="s">
        <v>562</v>
      </c>
      <c r="T91" s="13" t="s">
        <v>965</v>
      </c>
      <c r="U91" s="19">
        <v>8108758</v>
      </c>
      <c r="V91" s="20">
        <v>4865254.8</v>
      </c>
      <c r="W91" s="20">
        <v>810875.8</v>
      </c>
      <c r="X91" s="17">
        <v>45536</v>
      </c>
      <c r="Y91" s="13" t="s">
        <v>4</v>
      </c>
      <c r="Z91" s="13" t="s">
        <v>2</v>
      </c>
      <c r="AA91" s="13" t="s">
        <v>1258</v>
      </c>
      <c r="AB91" s="13" t="s">
        <v>4</v>
      </c>
      <c r="AC91" s="13" t="s">
        <v>4</v>
      </c>
      <c r="AD91" s="13" t="s">
        <v>1259</v>
      </c>
      <c r="AE91" s="19">
        <v>6514901</v>
      </c>
      <c r="AF91" s="36">
        <v>3908940.5999999996</v>
      </c>
    </row>
    <row r="92" spans="1:32" x14ac:dyDescent="0.35">
      <c r="A92" s="34">
        <v>35436698629</v>
      </c>
      <c r="B92" s="13" t="s">
        <v>1266</v>
      </c>
      <c r="C92" s="13">
        <v>57700681666</v>
      </c>
      <c r="D92" s="13" t="s">
        <v>48</v>
      </c>
      <c r="E92" s="67" t="s">
        <v>57</v>
      </c>
      <c r="F92" s="13" t="s">
        <v>153</v>
      </c>
      <c r="G92" s="13" t="s">
        <v>462</v>
      </c>
      <c r="H92" s="13" t="s">
        <v>3</v>
      </c>
      <c r="I92" s="15">
        <v>0.6</v>
      </c>
      <c r="J92" s="16">
        <v>44977</v>
      </c>
      <c r="K92" s="17">
        <f t="shared" si="1"/>
        <v>45524</v>
      </c>
      <c r="L92" s="13" t="s">
        <v>465</v>
      </c>
      <c r="M92" s="17">
        <v>44986</v>
      </c>
      <c r="N92" s="17">
        <v>45228</v>
      </c>
      <c r="O92" s="13" t="s">
        <v>468</v>
      </c>
      <c r="P92" s="18" t="s">
        <v>471</v>
      </c>
      <c r="Q92" s="17">
        <v>45594</v>
      </c>
      <c r="R92" s="13"/>
      <c r="S92" s="13" t="s">
        <v>563</v>
      </c>
      <c r="T92" s="13" t="s">
        <v>966</v>
      </c>
      <c r="U92" s="19">
        <v>6514901</v>
      </c>
      <c r="V92" s="20">
        <v>3908940.5999999996</v>
      </c>
      <c r="W92" s="20">
        <v>651490.10000000009</v>
      </c>
      <c r="X92" s="17">
        <v>45435</v>
      </c>
      <c r="Y92" s="13" t="s">
        <v>3</v>
      </c>
      <c r="Z92" s="13" t="s">
        <v>2</v>
      </c>
      <c r="AA92" s="13" t="s">
        <v>1258</v>
      </c>
      <c r="AB92" s="13" t="s">
        <v>4</v>
      </c>
      <c r="AC92" s="13" t="s">
        <v>3</v>
      </c>
      <c r="AD92" s="13" t="s">
        <v>1259</v>
      </c>
      <c r="AE92" s="19">
        <v>6678694</v>
      </c>
      <c r="AF92" s="36">
        <v>4007216.4</v>
      </c>
    </row>
    <row r="93" spans="1:32" x14ac:dyDescent="0.35">
      <c r="A93" s="34">
        <v>55558103073</v>
      </c>
      <c r="B93" s="13" t="s">
        <v>1266</v>
      </c>
      <c r="C93" s="13">
        <v>10238988247</v>
      </c>
      <c r="D93" s="13" t="s">
        <v>43</v>
      </c>
      <c r="E93" s="67" t="s">
        <v>52</v>
      </c>
      <c r="F93" s="13" t="s">
        <v>154</v>
      </c>
      <c r="G93" s="13" t="s">
        <v>462</v>
      </c>
      <c r="H93" s="13" t="s">
        <v>4</v>
      </c>
      <c r="I93" s="15">
        <v>0.6</v>
      </c>
      <c r="J93" s="16">
        <v>45178</v>
      </c>
      <c r="K93" s="17">
        <f t="shared" si="1"/>
        <v>45725</v>
      </c>
      <c r="L93" s="13" t="s">
        <v>464</v>
      </c>
      <c r="M93" s="17"/>
      <c r="N93" s="17"/>
      <c r="O93" s="13"/>
      <c r="P93" s="18"/>
      <c r="Q93" s="17"/>
      <c r="R93" s="13"/>
      <c r="S93" s="13" t="s">
        <v>564</v>
      </c>
      <c r="T93" s="13" t="s">
        <v>967</v>
      </c>
      <c r="U93" s="19">
        <v>6678694</v>
      </c>
      <c r="V93" s="20">
        <v>4007216.4</v>
      </c>
      <c r="W93" s="20">
        <v>667869.4</v>
      </c>
      <c r="X93" s="17">
        <v>45616</v>
      </c>
      <c r="Y93" s="13" t="s">
        <v>4</v>
      </c>
      <c r="Z93" s="13" t="s">
        <v>2</v>
      </c>
      <c r="AA93" s="13" t="s">
        <v>1258</v>
      </c>
      <c r="AB93" s="13" t="s">
        <v>4</v>
      </c>
      <c r="AC93" s="13" t="s">
        <v>4</v>
      </c>
      <c r="AD93" s="13" t="s">
        <v>1259</v>
      </c>
      <c r="AE93" s="19">
        <v>3694915</v>
      </c>
      <c r="AF93" s="36">
        <v>2216949</v>
      </c>
    </row>
    <row r="94" spans="1:32" x14ac:dyDescent="0.35">
      <c r="A94" s="34">
        <v>18397969647</v>
      </c>
      <c r="B94" s="13" t="s">
        <v>1266</v>
      </c>
      <c r="C94" s="13">
        <v>90051714729</v>
      </c>
      <c r="D94" s="13" t="s">
        <v>50</v>
      </c>
      <c r="E94" s="67" t="s">
        <v>56</v>
      </c>
      <c r="F94" s="13" t="s">
        <v>155</v>
      </c>
      <c r="G94" s="13" t="s">
        <v>463</v>
      </c>
      <c r="H94" s="13" t="s">
        <v>4</v>
      </c>
      <c r="I94" s="15">
        <v>0.6</v>
      </c>
      <c r="J94" s="16">
        <v>45252</v>
      </c>
      <c r="K94" s="17">
        <f t="shared" si="1"/>
        <v>45799</v>
      </c>
      <c r="L94" s="13" t="s">
        <v>465</v>
      </c>
      <c r="M94" s="17">
        <v>45084</v>
      </c>
      <c r="N94" s="17">
        <v>45537</v>
      </c>
      <c r="O94" s="13" t="s">
        <v>468</v>
      </c>
      <c r="P94" s="18" t="s">
        <v>469</v>
      </c>
      <c r="Q94" s="17">
        <v>45418</v>
      </c>
      <c r="R94" s="13"/>
      <c r="S94" s="13" t="s">
        <v>565</v>
      </c>
      <c r="T94" s="13" t="s">
        <v>968</v>
      </c>
      <c r="U94" s="19">
        <v>3694915</v>
      </c>
      <c r="V94" s="20">
        <v>2216949</v>
      </c>
      <c r="W94" s="20">
        <v>369491.5</v>
      </c>
      <c r="X94" s="17">
        <v>45460</v>
      </c>
      <c r="Y94" s="13" t="s">
        <v>4</v>
      </c>
      <c r="Z94" s="13" t="s">
        <v>2</v>
      </c>
      <c r="AA94" s="13" t="s">
        <v>1258</v>
      </c>
      <c r="AB94" s="13" t="s">
        <v>4</v>
      </c>
      <c r="AC94" s="13" t="s">
        <v>4</v>
      </c>
      <c r="AD94" s="13" t="s">
        <v>1258</v>
      </c>
      <c r="AE94" s="19">
        <v>9557417</v>
      </c>
      <c r="AF94" s="36">
        <v>5734450.2000000002</v>
      </c>
    </row>
    <row r="95" spans="1:32" x14ac:dyDescent="0.35">
      <c r="A95" s="34">
        <v>45661873827</v>
      </c>
      <c r="B95" s="13" t="s">
        <v>1266</v>
      </c>
      <c r="C95" s="13">
        <v>81466260160</v>
      </c>
      <c r="D95" s="13" t="s">
        <v>42</v>
      </c>
      <c r="E95" s="67" t="s">
        <v>59</v>
      </c>
      <c r="F95" s="13" t="s">
        <v>156</v>
      </c>
      <c r="G95" s="13" t="s">
        <v>463</v>
      </c>
      <c r="H95" s="13" t="s">
        <v>3</v>
      </c>
      <c r="I95" s="15">
        <v>0.6</v>
      </c>
      <c r="J95" s="16">
        <v>45179</v>
      </c>
      <c r="K95" s="17">
        <f t="shared" si="1"/>
        <v>45726</v>
      </c>
      <c r="L95" s="13" t="s">
        <v>464</v>
      </c>
      <c r="M95" s="17"/>
      <c r="N95" s="17"/>
      <c r="O95" s="13"/>
      <c r="P95" s="18"/>
      <c r="Q95" s="17"/>
      <c r="R95" s="13"/>
      <c r="S95" s="13" t="s">
        <v>566</v>
      </c>
      <c r="T95" s="13" t="s">
        <v>919</v>
      </c>
      <c r="U95" s="19">
        <v>9557417</v>
      </c>
      <c r="V95" s="20">
        <v>5734450.2000000002</v>
      </c>
      <c r="W95" s="20">
        <v>955741.70000000007</v>
      </c>
      <c r="X95" s="17">
        <v>45508</v>
      </c>
      <c r="Y95" s="13" t="s">
        <v>3</v>
      </c>
      <c r="Z95" s="13" t="s">
        <v>2</v>
      </c>
      <c r="AA95" s="13" t="s">
        <v>1258</v>
      </c>
      <c r="AB95" s="13" t="s">
        <v>3</v>
      </c>
      <c r="AC95" s="13" t="s">
        <v>3</v>
      </c>
      <c r="AD95" s="13" t="s">
        <v>1258</v>
      </c>
      <c r="AE95" s="19">
        <v>7478520</v>
      </c>
      <c r="AF95" s="36">
        <v>4487112</v>
      </c>
    </row>
    <row r="96" spans="1:32" x14ac:dyDescent="0.35">
      <c r="A96" s="34">
        <v>42006891299</v>
      </c>
      <c r="B96" s="13" t="s">
        <v>1266</v>
      </c>
      <c r="C96" s="13">
        <v>99879492567</v>
      </c>
      <c r="D96" s="13" t="s">
        <v>45</v>
      </c>
      <c r="E96" s="67" t="s">
        <v>53</v>
      </c>
      <c r="F96" s="13" t="s">
        <v>157</v>
      </c>
      <c r="G96" s="13" t="s">
        <v>463</v>
      </c>
      <c r="H96" s="13" t="s">
        <v>3</v>
      </c>
      <c r="I96" s="15">
        <v>0.6</v>
      </c>
      <c r="J96" s="16">
        <v>45010</v>
      </c>
      <c r="K96" s="17">
        <f t="shared" si="1"/>
        <v>45560</v>
      </c>
      <c r="L96" s="13" t="s">
        <v>464</v>
      </c>
      <c r="M96" s="17"/>
      <c r="N96" s="17"/>
      <c r="O96" s="13"/>
      <c r="P96" s="18"/>
      <c r="Q96" s="17"/>
      <c r="R96" s="13"/>
      <c r="S96" s="13" t="s">
        <v>567</v>
      </c>
      <c r="T96" s="13" t="s">
        <v>969</v>
      </c>
      <c r="U96" s="19">
        <v>7478520</v>
      </c>
      <c r="V96" s="20">
        <v>4487112</v>
      </c>
      <c r="W96" s="20">
        <v>747852</v>
      </c>
      <c r="X96" s="17">
        <v>45521</v>
      </c>
      <c r="Y96" s="13" t="s">
        <v>3</v>
      </c>
      <c r="Z96" s="13" t="s">
        <v>1258</v>
      </c>
      <c r="AA96" s="13" t="s">
        <v>1258</v>
      </c>
      <c r="AB96" s="13" t="s">
        <v>3</v>
      </c>
      <c r="AC96" s="13" t="s">
        <v>3</v>
      </c>
      <c r="AD96" s="13" t="s">
        <v>1259</v>
      </c>
      <c r="AE96" s="19">
        <v>7857568</v>
      </c>
      <c r="AF96" s="36">
        <v>4714540.8</v>
      </c>
    </row>
    <row r="97" spans="1:32" x14ac:dyDescent="0.35">
      <c r="A97" s="34">
        <v>58747354868</v>
      </c>
      <c r="B97" s="13" t="s">
        <v>1266</v>
      </c>
      <c r="C97" s="13">
        <v>94125157139</v>
      </c>
      <c r="D97" s="13" t="s">
        <v>47</v>
      </c>
      <c r="E97" s="67" t="s">
        <v>58</v>
      </c>
      <c r="F97" s="13" t="s">
        <v>158</v>
      </c>
      <c r="G97" s="13" t="s">
        <v>463</v>
      </c>
      <c r="H97" s="13" t="s">
        <v>4</v>
      </c>
      <c r="I97" s="15">
        <v>0.6</v>
      </c>
      <c r="J97" s="16">
        <v>45071</v>
      </c>
      <c r="K97" s="17">
        <f t="shared" si="1"/>
        <v>45621</v>
      </c>
      <c r="L97" s="13" t="s">
        <v>464</v>
      </c>
      <c r="M97" s="17"/>
      <c r="N97" s="17"/>
      <c r="O97" s="13"/>
      <c r="P97" s="18"/>
      <c r="Q97" s="17"/>
      <c r="R97" s="13"/>
      <c r="S97" s="13" t="s">
        <v>568</v>
      </c>
      <c r="T97" s="13" t="s">
        <v>970</v>
      </c>
      <c r="U97" s="19">
        <v>7857568</v>
      </c>
      <c r="V97" s="20">
        <v>4714540.8</v>
      </c>
      <c r="W97" s="20">
        <v>785756.8</v>
      </c>
      <c r="X97" s="17">
        <v>45585</v>
      </c>
      <c r="Y97" s="13" t="s">
        <v>4</v>
      </c>
      <c r="Z97" s="13" t="s">
        <v>1258</v>
      </c>
      <c r="AA97" s="13" t="s">
        <v>1258</v>
      </c>
      <c r="AB97" s="13" t="s">
        <v>4</v>
      </c>
      <c r="AC97" s="13" t="s">
        <v>4</v>
      </c>
      <c r="AD97" s="13" t="s">
        <v>1259</v>
      </c>
      <c r="AE97" s="19">
        <v>1605178</v>
      </c>
      <c r="AF97" s="36">
        <v>963106.79999999993</v>
      </c>
    </row>
    <row r="98" spans="1:32" x14ac:dyDescent="0.35">
      <c r="A98" s="34">
        <v>35879110809</v>
      </c>
      <c r="B98" s="13" t="s">
        <v>1266</v>
      </c>
      <c r="C98" s="13">
        <v>71558028948</v>
      </c>
      <c r="D98" s="13" t="s">
        <v>47</v>
      </c>
      <c r="E98" s="67" t="s">
        <v>51</v>
      </c>
      <c r="F98" s="13" t="s">
        <v>159</v>
      </c>
      <c r="G98" s="13" t="s">
        <v>462</v>
      </c>
      <c r="H98" s="13" t="s">
        <v>4</v>
      </c>
      <c r="I98" s="15">
        <v>0.6</v>
      </c>
      <c r="J98" s="16">
        <v>45250</v>
      </c>
      <c r="K98" s="17">
        <f t="shared" si="1"/>
        <v>45797</v>
      </c>
      <c r="L98" s="13" t="s">
        <v>464</v>
      </c>
      <c r="M98" s="17"/>
      <c r="N98" s="17"/>
      <c r="O98" s="13"/>
      <c r="P98" s="18"/>
      <c r="Q98" s="17"/>
      <c r="R98" s="13"/>
      <c r="S98" s="13" t="s">
        <v>569</v>
      </c>
      <c r="T98" s="13" t="s">
        <v>971</v>
      </c>
      <c r="U98" s="19">
        <v>1605178</v>
      </c>
      <c r="V98" s="20">
        <v>963106.79999999993</v>
      </c>
      <c r="W98" s="20">
        <v>160517.80000000002</v>
      </c>
      <c r="X98" s="17">
        <v>45571</v>
      </c>
      <c r="Y98" s="13" t="s">
        <v>4</v>
      </c>
      <c r="Z98" s="13" t="s">
        <v>2</v>
      </c>
      <c r="AA98" s="13" t="s">
        <v>1258</v>
      </c>
      <c r="AB98" s="13" t="s">
        <v>4</v>
      </c>
      <c r="AC98" s="13" t="s">
        <v>4</v>
      </c>
      <c r="AD98" s="13" t="s">
        <v>1258</v>
      </c>
      <c r="AE98" s="19">
        <v>7797005</v>
      </c>
      <c r="AF98" s="36">
        <v>4678203</v>
      </c>
    </row>
    <row r="99" spans="1:32" x14ac:dyDescent="0.35">
      <c r="A99" s="34">
        <v>67340439586</v>
      </c>
      <c r="B99" s="13" t="s">
        <v>1266</v>
      </c>
      <c r="C99" s="13">
        <v>25204383275</v>
      </c>
      <c r="D99" s="13" t="s">
        <v>43</v>
      </c>
      <c r="E99" s="67" t="s">
        <v>55</v>
      </c>
      <c r="F99" s="13" t="s">
        <v>160</v>
      </c>
      <c r="G99" s="13" t="s">
        <v>463</v>
      </c>
      <c r="H99" s="13" t="s">
        <v>3</v>
      </c>
      <c r="I99" s="15">
        <v>0.7</v>
      </c>
      <c r="J99" s="16">
        <v>45161</v>
      </c>
      <c r="K99" s="17">
        <f t="shared" si="1"/>
        <v>45711</v>
      </c>
      <c r="L99" s="13" t="s">
        <v>465</v>
      </c>
      <c r="M99" s="17">
        <v>44997</v>
      </c>
      <c r="N99" s="17">
        <v>45365</v>
      </c>
      <c r="O99" s="13" t="s">
        <v>470</v>
      </c>
      <c r="P99" s="18" t="s">
        <v>471</v>
      </c>
      <c r="Q99" s="17">
        <v>45576</v>
      </c>
      <c r="R99" s="13"/>
      <c r="S99" s="13" t="s">
        <v>570</v>
      </c>
      <c r="T99" s="13" t="s">
        <v>972</v>
      </c>
      <c r="U99" s="19">
        <v>7797005</v>
      </c>
      <c r="V99" s="20">
        <v>4678203</v>
      </c>
      <c r="W99" s="20">
        <v>779700.5</v>
      </c>
      <c r="X99" s="17">
        <v>45652</v>
      </c>
      <c r="Y99" s="13" t="s">
        <v>3</v>
      </c>
      <c r="Z99" s="13" t="s">
        <v>1258</v>
      </c>
      <c r="AA99" s="13" t="s">
        <v>1258</v>
      </c>
      <c r="AB99" s="13" t="s">
        <v>3</v>
      </c>
      <c r="AC99" s="13" t="s">
        <v>3</v>
      </c>
      <c r="AD99" s="13" t="s">
        <v>1259</v>
      </c>
      <c r="AE99" s="19">
        <v>1836548</v>
      </c>
      <c r="AF99" s="36">
        <v>1101928.8</v>
      </c>
    </row>
    <row r="100" spans="1:32" x14ac:dyDescent="0.35">
      <c r="A100" s="34">
        <v>28548197657</v>
      </c>
      <c r="B100" s="13" t="s">
        <v>1266</v>
      </c>
      <c r="C100" s="13">
        <v>22055018985</v>
      </c>
      <c r="D100" s="13" t="s">
        <v>47</v>
      </c>
      <c r="E100" s="67" t="s">
        <v>53</v>
      </c>
      <c r="F100" s="13" t="s">
        <v>161</v>
      </c>
      <c r="G100" s="13" t="s">
        <v>462</v>
      </c>
      <c r="H100" s="13" t="s">
        <v>4</v>
      </c>
      <c r="I100" s="15">
        <v>0.6</v>
      </c>
      <c r="J100" s="16">
        <v>45256</v>
      </c>
      <c r="K100" s="17">
        <f t="shared" si="1"/>
        <v>45803</v>
      </c>
      <c r="L100" s="13" t="s">
        <v>465</v>
      </c>
      <c r="M100" s="17">
        <v>45001</v>
      </c>
      <c r="N100" s="17">
        <v>45614</v>
      </c>
      <c r="O100" s="13" t="s">
        <v>468</v>
      </c>
      <c r="P100" s="18" t="s">
        <v>469</v>
      </c>
      <c r="Q100" s="17">
        <v>45394</v>
      </c>
      <c r="R100" s="13"/>
      <c r="S100" s="13" t="s">
        <v>571</v>
      </c>
      <c r="T100" s="13" t="s">
        <v>973</v>
      </c>
      <c r="U100" s="19">
        <v>1836548</v>
      </c>
      <c r="V100" s="20">
        <v>1101928.8</v>
      </c>
      <c r="W100" s="20">
        <v>183654.80000000002</v>
      </c>
      <c r="X100" s="17">
        <v>45626</v>
      </c>
      <c r="Y100" s="13" t="s">
        <v>4</v>
      </c>
      <c r="Z100" s="13" t="s">
        <v>1258</v>
      </c>
      <c r="AA100" s="13" t="s">
        <v>1258</v>
      </c>
      <c r="AB100" s="13" t="s">
        <v>4</v>
      </c>
      <c r="AC100" s="13" t="s">
        <v>4</v>
      </c>
      <c r="AD100" s="13" t="s">
        <v>1259</v>
      </c>
      <c r="AE100" s="19">
        <v>2248275</v>
      </c>
      <c r="AF100" s="36">
        <v>1348965</v>
      </c>
    </row>
    <row r="101" spans="1:32" x14ac:dyDescent="0.35">
      <c r="A101" s="34">
        <v>80991126385</v>
      </c>
      <c r="B101" s="13" t="s">
        <v>1266</v>
      </c>
      <c r="C101" s="13">
        <v>12535798815</v>
      </c>
      <c r="D101" s="13" t="s">
        <v>41</v>
      </c>
      <c r="E101" s="67" t="s">
        <v>52</v>
      </c>
      <c r="F101" s="13" t="s">
        <v>162</v>
      </c>
      <c r="G101" s="13" t="s">
        <v>462</v>
      </c>
      <c r="H101" s="13" t="s">
        <v>3</v>
      </c>
      <c r="I101" s="15">
        <v>0.6</v>
      </c>
      <c r="J101" s="16">
        <v>45178</v>
      </c>
      <c r="K101" s="17">
        <f t="shared" si="1"/>
        <v>45725</v>
      </c>
      <c r="L101" s="13" t="s">
        <v>464</v>
      </c>
      <c r="M101" s="17"/>
      <c r="N101" s="17"/>
      <c r="O101" s="13"/>
      <c r="P101" s="18"/>
      <c r="Q101" s="17"/>
      <c r="R101" s="13"/>
      <c r="S101" s="13" t="s">
        <v>572</v>
      </c>
      <c r="T101" s="13" t="s">
        <v>974</v>
      </c>
      <c r="U101" s="19">
        <v>2248275</v>
      </c>
      <c r="V101" s="20">
        <v>1348965</v>
      </c>
      <c r="W101" s="20">
        <v>224827.5</v>
      </c>
      <c r="X101" s="17">
        <v>45339</v>
      </c>
      <c r="Y101" s="13" t="s">
        <v>3</v>
      </c>
      <c r="Z101" s="13" t="s">
        <v>2</v>
      </c>
      <c r="AA101" s="13" t="s">
        <v>1258</v>
      </c>
      <c r="AB101" s="13" t="s">
        <v>4</v>
      </c>
      <c r="AC101" s="13" t="s">
        <v>3</v>
      </c>
      <c r="AD101" s="13" t="s">
        <v>1258</v>
      </c>
      <c r="AE101" s="19">
        <v>6386765</v>
      </c>
      <c r="AF101" s="36">
        <v>3832059</v>
      </c>
    </row>
    <row r="102" spans="1:32" x14ac:dyDescent="0.35">
      <c r="A102" s="34">
        <v>73570950618</v>
      </c>
      <c r="B102" s="13" t="s">
        <v>1266</v>
      </c>
      <c r="C102" s="13">
        <v>55292235485</v>
      </c>
      <c r="D102" s="13" t="s">
        <v>47</v>
      </c>
      <c r="E102" s="67" t="s">
        <v>57</v>
      </c>
      <c r="F102" s="13" t="s">
        <v>163</v>
      </c>
      <c r="G102" s="13" t="s">
        <v>462</v>
      </c>
      <c r="H102" s="13" t="s">
        <v>4</v>
      </c>
      <c r="I102" s="15">
        <v>0.5</v>
      </c>
      <c r="J102" s="16">
        <v>44954</v>
      </c>
      <c r="K102" s="17">
        <f t="shared" si="1"/>
        <v>45501</v>
      </c>
      <c r="L102" s="13" t="s">
        <v>465</v>
      </c>
      <c r="M102" s="17">
        <v>45237</v>
      </c>
      <c r="N102" s="17">
        <v>45148</v>
      </c>
      <c r="O102" s="13" t="s">
        <v>468</v>
      </c>
      <c r="P102" s="18" t="s">
        <v>469</v>
      </c>
      <c r="Q102" s="17">
        <v>45454</v>
      </c>
      <c r="R102" s="13"/>
      <c r="S102" s="13" t="s">
        <v>573</v>
      </c>
      <c r="T102" s="13" t="s">
        <v>975</v>
      </c>
      <c r="U102" s="19">
        <v>6386765</v>
      </c>
      <c r="V102" s="20">
        <v>3832059</v>
      </c>
      <c r="W102" s="20">
        <v>638676.5</v>
      </c>
      <c r="X102" s="17">
        <v>45337</v>
      </c>
      <c r="Y102" s="13" t="s">
        <v>4</v>
      </c>
      <c r="Z102" s="13" t="s">
        <v>1258</v>
      </c>
      <c r="AA102" s="13" t="s">
        <v>1258</v>
      </c>
      <c r="AB102" s="13" t="s">
        <v>3</v>
      </c>
      <c r="AC102" s="13" t="s">
        <v>4</v>
      </c>
      <c r="AD102" s="13" t="s">
        <v>1258</v>
      </c>
      <c r="AE102" s="19">
        <v>5138666</v>
      </c>
      <c r="AF102" s="36">
        <v>3083199.6</v>
      </c>
    </row>
    <row r="103" spans="1:32" x14ac:dyDescent="0.35">
      <c r="A103" s="34">
        <v>41494003616</v>
      </c>
      <c r="B103" s="13" t="s">
        <v>1267</v>
      </c>
      <c r="C103" s="13">
        <v>98693967889</v>
      </c>
      <c r="D103" s="13" t="s">
        <v>44</v>
      </c>
      <c r="E103" s="67" t="s">
        <v>59</v>
      </c>
      <c r="F103" s="13" t="s">
        <v>164</v>
      </c>
      <c r="G103" s="13" t="s">
        <v>462</v>
      </c>
      <c r="H103" s="13" t="s">
        <v>4</v>
      </c>
      <c r="I103" s="15">
        <v>0.6</v>
      </c>
      <c r="J103" s="16">
        <v>45092</v>
      </c>
      <c r="K103" s="17">
        <f t="shared" si="1"/>
        <v>45641</v>
      </c>
      <c r="L103" s="13" t="s">
        <v>464</v>
      </c>
      <c r="M103" s="17"/>
      <c r="N103" s="17"/>
      <c r="O103" s="13"/>
      <c r="P103" s="18"/>
      <c r="Q103" s="17"/>
      <c r="R103" s="13"/>
      <c r="S103" s="13" t="s">
        <v>574</v>
      </c>
      <c r="T103" s="13" t="s">
        <v>976</v>
      </c>
      <c r="U103" s="19">
        <v>5138666</v>
      </c>
      <c r="V103" s="20">
        <v>3083199.6</v>
      </c>
      <c r="W103" s="20">
        <v>513866.60000000003</v>
      </c>
      <c r="X103" s="17">
        <v>45576</v>
      </c>
      <c r="Y103" s="13" t="s">
        <v>4</v>
      </c>
      <c r="Z103" s="13" t="s">
        <v>1258</v>
      </c>
      <c r="AA103" s="13" t="s">
        <v>1258</v>
      </c>
      <c r="AB103" s="13" t="s">
        <v>4</v>
      </c>
      <c r="AC103" s="13" t="s">
        <v>4</v>
      </c>
      <c r="AD103" s="13" t="s">
        <v>1258</v>
      </c>
      <c r="AE103" s="19">
        <v>1507682</v>
      </c>
      <c r="AF103" s="36">
        <v>904609.2</v>
      </c>
    </row>
    <row r="104" spans="1:32" x14ac:dyDescent="0.35">
      <c r="A104" s="34">
        <v>74841721758</v>
      </c>
      <c r="B104" s="13" t="s">
        <v>1267</v>
      </c>
      <c r="C104" s="13">
        <v>72135896111</v>
      </c>
      <c r="D104" s="13" t="s">
        <v>48</v>
      </c>
      <c r="E104" s="67" t="s">
        <v>59</v>
      </c>
      <c r="F104" s="13" t="s">
        <v>165</v>
      </c>
      <c r="G104" s="13" t="s">
        <v>462</v>
      </c>
      <c r="H104" s="13" t="s">
        <v>4</v>
      </c>
      <c r="I104" s="15">
        <v>0.6</v>
      </c>
      <c r="J104" s="16">
        <v>45057</v>
      </c>
      <c r="K104" s="17">
        <f t="shared" si="1"/>
        <v>45607</v>
      </c>
      <c r="L104" s="13" t="s">
        <v>464</v>
      </c>
      <c r="M104" s="17"/>
      <c r="N104" s="17"/>
      <c r="O104" s="13"/>
      <c r="P104" s="18"/>
      <c r="Q104" s="17"/>
      <c r="R104" s="13"/>
      <c r="S104" s="13" t="s">
        <v>575</v>
      </c>
      <c r="T104" s="13" t="s">
        <v>977</v>
      </c>
      <c r="U104" s="19">
        <v>1507682</v>
      </c>
      <c r="V104" s="20">
        <v>904609.2</v>
      </c>
      <c r="W104" s="20">
        <v>150768.20000000001</v>
      </c>
      <c r="X104" s="17">
        <v>45365</v>
      </c>
      <c r="Y104" s="13" t="s">
        <v>4</v>
      </c>
      <c r="Z104" s="13" t="s">
        <v>2</v>
      </c>
      <c r="AA104" s="13" t="s">
        <v>1258</v>
      </c>
      <c r="AB104" s="13" t="s">
        <v>3</v>
      </c>
      <c r="AC104" s="13" t="s">
        <v>4</v>
      </c>
      <c r="AD104" s="13" t="s">
        <v>1259</v>
      </c>
      <c r="AE104" s="19">
        <v>4803283</v>
      </c>
      <c r="AF104" s="36">
        <v>2881969.8</v>
      </c>
    </row>
    <row r="105" spans="1:32" x14ac:dyDescent="0.35">
      <c r="A105" s="34">
        <v>69644074614</v>
      </c>
      <c r="B105" s="13" t="s">
        <v>1267</v>
      </c>
      <c r="C105" s="13">
        <v>44210520568</v>
      </c>
      <c r="D105" s="13" t="s">
        <v>43</v>
      </c>
      <c r="E105" s="67" t="s">
        <v>52</v>
      </c>
      <c r="F105" s="13" t="s">
        <v>166</v>
      </c>
      <c r="G105" s="13" t="s">
        <v>462</v>
      </c>
      <c r="H105" s="13" t="s">
        <v>4</v>
      </c>
      <c r="I105" s="15">
        <v>0.6</v>
      </c>
      <c r="J105" s="16">
        <v>45022</v>
      </c>
      <c r="K105" s="17">
        <f t="shared" si="1"/>
        <v>45571</v>
      </c>
      <c r="L105" s="13" t="s">
        <v>465</v>
      </c>
      <c r="M105" s="17">
        <v>45155</v>
      </c>
      <c r="N105" s="17">
        <v>45076</v>
      </c>
      <c r="O105" s="13" t="s">
        <v>468</v>
      </c>
      <c r="P105" s="18" t="s">
        <v>469</v>
      </c>
      <c r="Q105" s="17">
        <v>45381</v>
      </c>
      <c r="R105" s="13"/>
      <c r="S105" s="13" t="s">
        <v>576</v>
      </c>
      <c r="T105" s="13" t="s">
        <v>872</v>
      </c>
      <c r="U105" s="19">
        <v>4803283</v>
      </c>
      <c r="V105" s="20">
        <v>2881969.8</v>
      </c>
      <c r="W105" s="20">
        <v>480328.30000000005</v>
      </c>
      <c r="X105" s="17">
        <v>45512</v>
      </c>
      <c r="Y105" s="13" t="s">
        <v>4</v>
      </c>
      <c r="Z105" s="13" t="s">
        <v>2</v>
      </c>
      <c r="AA105" s="13" t="s">
        <v>1258</v>
      </c>
      <c r="AB105" s="13" t="s">
        <v>3</v>
      </c>
      <c r="AC105" s="13" t="s">
        <v>4</v>
      </c>
      <c r="AD105" s="13" t="s">
        <v>1259</v>
      </c>
      <c r="AE105" s="19">
        <v>1911557</v>
      </c>
      <c r="AF105" s="36">
        <v>1146934.2</v>
      </c>
    </row>
    <row r="106" spans="1:32" x14ac:dyDescent="0.35">
      <c r="A106" s="34">
        <v>13200839222</v>
      </c>
      <c r="B106" s="13" t="s">
        <v>1267</v>
      </c>
      <c r="C106" s="13">
        <v>10511186982</v>
      </c>
      <c r="D106" s="13" t="s">
        <v>47</v>
      </c>
      <c r="E106" s="67" t="s">
        <v>59</v>
      </c>
      <c r="F106" s="13" t="s">
        <v>167</v>
      </c>
      <c r="G106" s="13" t="s">
        <v>463</v>
      </c>
      <c r="H106" s="13" t="s">
        <v>3</v>
      </c>
      <c r="I106" s="15">
        <v>0.7</v>
      </c>
      <c r="J106" s="16">
        <v>45139</v>
      </c>
      <c r="K106" s="17">
        <f t="shared" si="1"/>
        <v>45689</v>
      </c>
      <c r="L106" s="13" t="s">
        <v>464</v>
      </c>
      <c r="M106" s="17"/>
      <c r="N106" s="17"/>
      <c r="O106" s="13"/>
      <c r="P106" s="18"/>
      <c r="Q106" s="17"/>
      <c r="R106" s="13"/>
      <c r="S106" s="13" t="s">
        <v>577</v>
      </c>
      <c r="T106" s="13" t="s">
        <v>978</v>
      </c>
      <c r="U106" s="19">
        <v>1911557</v>
      </c>
      <c r="V106" s="20">
        <v>1146934.2</v>
      </c>
      <c r="W106" s="20">
        <v>191155.7</v>
      </c>
      <c r="X106" s="17">
        <v>45398</v>
      </c>
      <c r="Y106" s="13" t="s">
        <v>3</v>
      </c>
      <c r="Z106" s="13" t="s">
        <v>1258</v>
      </c>
      <c r="AA106" s="13" t="s">
        <v>1258</v>
      </c>
      <c r="AB106" s="13" t="s">
        <v>3</v>
      </c>
      <c r="AC106" s="13" t="s">
        <v>3</v>
      </c>
      <c r="AD106" s="13" t="s">
        <v>1258</v>
      </c>
      <c r="AE106" s="19">
        <v>9912016</v>
      </c>
      <c r="AF106" s="36">
        <v>5947209.5999999996</v>
      </c>
    </row>
    <row r="107" spans="1:32" x14ac:dyDescent="0.35">
      <c r="A107" s="34">
        <v>34070314307</v>
      </c>
      <c r="B107" s="13" t="s">
        <v>1267</v>
      </c>
      <c r="C107" s="13">
        <v>12412244841</v>
      </c>
      <c r="D107" s="13" t="s">
        <v>45</v>
      </c>
      <c r="E107" s="67" t="s">
        <v>55</v>
      </c>
      <c r="F107" s="13" t="s">
        <v>168</v>
      </c>
      <c r="G107" s="13" t="s">
        <v>462</v>
      </c>
      <c r="H107" s="13" t="s">
        <v>3</v>
      </c>
      <c r="I107" s="15">
        <v>0.6</v>
      </c>
      <c r="J107" s="16">
        <v>45248</v>
      </c>
      <c r="K107" s="17">
        <f t="shared" si="1"/>
        <v>45795</v>
      </c>
      <c r="L107" s="13" t="s">
        <v>465</v>
      </c>
      <c r="M107" s="17">
        <v>45228</v>
      </c>
      <c r="N107" s="17">
        <v>45485</v>
      </c>
      <c r="O107" s="13" t="s">
        <v>470</v>
      </c>
      <c r="P107" s="18" t="s">
        <v>471</v>
      </c>
      <c r="Q107" s="17">
        <v>45455</v>
      </c>
      <c r="R107" s="13"/>
      <c r="S107" s="13" t="s">
        <v>578</v>
      </c>
      <c r="T107" s="13" t="s">
        <v>979</v>
      </c>
      <c r="U107" s="19">
        <v>9912016</v>
      </c>
      <c r="V107" s="20">
        <v>5947209.5999999996</v>
      </c>
      <c r="W107" s="20">
        <v>991201.60000000009</v>
      </c>
      <c r="X107" s="17">
        <v>45394</v>
      </c>
      <c r="Y107" s="13" t="s">
        <v>3</v>
      </c>
      <c r="Z107" s="13" t="s">
        <v>1258</v>
      </c>
      <c r="AA107" s="13" t="s">
        <v>1258</v>
      </c>
      <c r="AB107" s="13" t="s">
        <v>3</v>
      </c>
      <c r="AC107" s="13" t="s">
        <v>3</v>
      </c>
      <c r="AD107" s="13" t="s">
        <v>1259</v>
      </c>
      <c r="AE107" s="19">
        <v>7359220</v>
      </c>
      <c r="AF107" s="36">
        <v>4415532</v>
      </c>
    </row>
    <row r="108" spans="1:32" x14ac:dyDescent="0.35">
      <c r="A108" s="34">
        <v>34660609591</v>
      </c>
      <c r="B108" s="13" t="s">
        <v>1267</v>
      </c>
      <c r="C108" s="13">
        <v>34103520846</v>
      </c>
      <c r="D108" s="13" t="s">
        <v>47</v>
      </c>
      <c r="E108" s="67" t="s">
        <v>56</v>
      </c>
      <c r="F108" s="13" t="s">
        <v>169</v>
      </c>
      <c r="G108" s="13" t="s">
        <v>462</v>
      </c>
      <c r="H108" s="13" t="s">
        <v>4</v>
      </c>
      <c r="I108" s="15">
        <v>0.7</v>
      </c>
      <c r="J108" s="16">
        <v>45150</v>
      </c>
      <c r="K108" s="17">
        <f t="shared" si="1"/>
        <v>45700</v>
      </c>
      <c r="L108" s="13" t="s">
        <v>464</v>
      </c>
      <c r="M108" s="17"/>
      <c r="N108" s="17"/>
      <c r="O108" s="13"/>
      <c r="P108" s="18"/>
      <c r="Q108" s="17"/>
      <c r="R108" s="13"/>
      <c r="S108" s="13" t="s">
        <v>579</v>
      </c>
      <c r="T108" s="13" t="s">
        <v>980</v>
      </c>
      <c r="U108" s="19">
        <v>7359220</v>
      </c>
      <c r="V108" s="20">
        <v>4415532</v>
      </c>
      <c r="W108" s="20">
        <v>735922</v>
      </c>
      <c r="X108" s="17">
        <v>45350</v>
      </c>
      <c r="Y108" s="13" t="s">
        <v>4</v>
      </c>
      <c r="Z108" s="13" t="s">
        <v>1258</v>
      </c>
      <c r="AA108" s="13" t="s">
        <v>1258</v>
      </c>
      <c r="AB108" s="13" t="s">
        <v>4</v>
      </c>
      <c r="AC108" s="13" t="s">
        <v>4</v>
      </c>
      <c r="AD108" s="13" t="s">
        <v>1258</v>
      </c>
      <c r="AE108" s="19">
        <v>4853170</v>
      </c>
      <c r="AF108" s="36">
        <v>2911902</v>
      </c>
    </row>
    <row r="109" spans="1:32" x14ac:dyDescent="0.35">
      <c r="A109" s="34">
        <v>88612452717</v>
      </c>
      <c r="B109" s="13" t="s">
        <v>1267</v>
      </c>
      <c r="C109" s="13">
        <v>93924618344</v>
      </c>
      <c r="D109" s="13" t="s">
        <v>45</v>
      </c>
      <c r="E109" s="67" t="s">
        <v>56</v>
      </c>
      <c r="F109" s="13" t="s">
        <v>170</v>
      </c>
      <c r="G109" s="13" t="s">
        <v>463</v>
      </c>
      <c r="H109" s="13" t="s">
        <v>4</v>
      </c>
      <c r="I109" s="15">
        <v>0.6</v>
      </c>
      <c r="J109" s="16">
        <v>44978</v>
      </c>
      <c r="K109" s="17">
        <f t="shared" si="1"/>
        <v>45525</v>
      </c>
      <c r="L109" s="13" t="s">
        <v>465</v>
      </c>
      <c r="M109" s="17">
        <v>45017</v>
      </c>
      <c r="N109" s="17">
        <v>45045</v>
      </c>
      <c r="O109" s="13" t="s">
        <v>470</v>
      </c>
      <c r="P109" s="18" t="s">
        <v>471</v>
      </c>
      <c r="Q109" s="17">
        <v>45443</v>
      </c>
      <c r="R109" s="13"/>
      <c r="S109" s="13" t="s">
        <v>580</v>
      </c>
      <c r="T109" s="13" t="s">
        <v>981</v>
      </c>
      <c r="U109" s="19">
        <v>4853170</v>
      </c>
      <c r="V109" s="20">
        <v>2911902</v>
      </c>
      <c r="W109" s="20">
        <v>485317</v>
      </c>
      <c r="X109" s="17">
        <v>45361</v>
      </c>
      <c r="Y109" s="13" t="s">
        <v>4</v>
      </c>
      <c r="Z109" s="13" t="s">
        <v>1258</v>
      </c>
      <c r="AA109" s="13" t="s">
        <v>1258</v>
      </c>
      <c r="AB109" s="13" t="s">
        <v>4</v>
      </c>
      <c r="AC109" s="13" t="s">
        <v>4</v>
      </c>
      <c r="AD109" s="13" t="s">
        <v>1258</v>
      </c>
      <c r="AE109" s="19">
        <v>6521710</v>
      </c>
      <c r="AF109" s="36">
        <v>3913026</v>
      </c>
    </row>
    <row r="110" spans="1:32" x14ac:dyDescent="0.35">
      <c r="A110" s="34">
        <v>49190907307</v>
      </c>
      <c r="B110" s="13" t="s">
        <v>1267</v>
      </c>
      <c r="C110" s="13">
        <v>62370101384</v>
      </c>
      <c r="D110" s="13" t="s">
        <v>44</v>
      </c>
      <c r="E110" s="67" t="s">
        <v>58</v>
      </c>
      <c r="F110" s="13" t="s">
        <v>171</v>
      </c>
      <c r="G110" s="13" t="s">
        <v>463</v>
      </c>
      <c r="H110" s="13" t="s">
        <v>3</v>
      </c>
      <c r="I110" s="15">
        <v>0.6</v>
      </c>
      <c r="J110" s="16">
        <v>45164</v>
      </c>
      <c r="K110" s="17">
        <f t="shared" si="1"/>
        <v>45714</v>
      </c>
      <c r="L110" s="13" t="s">
        <v>465</v>
      </c>
      <c r="M110" s="17">
        <v>45245</v>
      </c>
      <c r="N110" s="17">
        <v>45179</v>
      </c>
      <c r="O110" s="13" t="s">
        <v>468</v>
      </c>
      <c r="P110" s="18" t="s">
        <v>469</v>
      </c>
      <c r="Q110" s="17">
        <v>45571</v>
      </c>
      <c r="R110" s="13"/>
      <c r="S110" s="13" t="s">
        <v>581</v>
      </c>
      <c r="T110" s="13" t="s">
        <v>982</v>
      </c>
      <c r="U110" s="19">
        <v>6521710</v>
      </c>
      <c r="V110" s="20">
        <v>3913026</v>
      </c>
      <c r="W110" s="20">
        <v>652171</v>
      </c>
      <c r="X110" s="17">
        <v>45360</v>
      </c>
      <c r="Y110" s="13" t="s">
        <v>3</v>
      </c>
      <c r="Z110" s="13" t="s">
        <v>1258</v>
      </c>
      <c r="AA110" s="13" t="s">
        <v>1258</v>
      </c>
      <c r="AB110" s="13" t="s">
        <v>4</v>
      </c>
      <c r="AC110" s="13" t="s">
        <v>3</v>
      </c>
      <c r="AD110" s="13" t="s">
        <v>1259</v>
      </c>
      <c r="AE110" s="19">
        <v>7438139</v>
      </c>
      <c r="AF110" s="36">
        <v>4462883.3999999994</v>
      </c>
    </row>
    <row r="111" spans="1:32" x14ac:dyDescent="0.35">
      <c r="A111" s="34">
        <v>74180175736</v>
      </c>
      <c r="B111" s="13" t="s">
        <v>1267</v>
      </c>
      <c r="C111" s="13">
        <v>86255945824</v>
      </c>
      <c r="D111" s="13" t="s">
        <v>48</v>
      </c>
      <c r="E111" s="67" t="s">
        <v>56</v>
      </c>
      <c r="F111" s="13" t="s">
        <v>172</v>
      </c>
      <c r="G111" s="13" t="s">
        <v>463</v>
      </c>
      <c r="H111" s="13" t="s">
        <v>4</v>
      </c>
      <c r="I111" s="15">
        <v>0.6</v>
      </c>
      <c r="J111" s="16">
        <v>45266</v>
      </c>
      <c r="K111" s="17">
        <f t="shared" si="1"/>
        <v>45814</v>
      </c>
      <c r="L111" s="13" t="s">
        <v>464</v>
      </c>
      <c r="M111" s="17"/>
      <c r="N111" s="17"/>
      <c r="O111" s="13"/>
      <c r="P111" s="18"/>
      <c r="Q111" s="17"/>
      <c r="R111" s="13"/>
      <c r="S111" s="13" t="s">
        <v>582</v>
      </c>
      <c r="T111" s="13" t="s">
        <v>983</v>
      </c>
      <c r="U111" s="19">
        <v>7438139</v>
      </c>
      <c r="V111" s="20">
        <v>4462883.3999999994</v>
      </c>
      <c r="W111" s="20">
        <v>743813.9</v>
      </c>
      <c r="X111" s="17">
        <v>45339</v>
      </c>
      <c r="Y111" s="13" t="s">
        <v>4</v>
      </c>
      <c r="Z111" s="13" t="s">
        <v>2</v>
      </c>
      <c r="AA111" s="13" t="s">
        <v>1258</v>
      </c>
      <c r="AB111" s="13" t="s">
        <v>3</v>
      </c>
      <c r="AC111" s="13" t="s">
        <v>4</v>
      </c>
      <c r="AD111" s="13" t="s">
        <v>1259</v>
      </c>
      <c r="AE111" s="19">
        <v>1043151</v>
      </c>
      <c r="AF111" s="36">
        <v>625890.6</v>
      </c>
    </row>
    <row r="112" spans="1:32" x14ac:dyDescent="0.35">
      <c r="A112" s="34">
        <v>99618140827</v>
      </c>
      <c r="B112" s="13" t="s">
        <v>1267</v>
      </c>
      <c r="C112" s="13">
        <v>16991395802</v>
      </c>
      <c r="D112" s="13" t="s">
        <v>48</v>
      </c>
      <c r="E112" s="67" t="s">
        <v>51</v>
      </c>
      <c r="F112" s="13" t="s">
        <v>173</v>
      </c>
      <c r="G112" s="13" t="s">
        <v>463</v>
      </c>
      <c r="H112" s="13" t="s">
        <v>3</v>
      </c>
      <c r="I112" s="15">
        <v>0.7</v>
      </c>
      <c r="J112" s="16">
        <v>45022</v>
      </c>
      <c r="K112" s="17">
        <f t="shared" si="1"/>
        <v>45571</v>
      </c>
      <c r="L112" s="13" t="s">
        <v>465</v>
      </c>
      <c r="M112" s="17">
        <v>45071</v>
      </c>
      <c r="N112" s="17">
        <v>45369</v>
      </c>
      <c r="O112" s="13" t="s">
        <v>470</v>
      </c>
      <c r="P112" s="18" t="s">
        <v>471</v>
      </c>
      <c r="Q112" s="17">
        <v>45544</v>
      </c>
      <c r="R112" s="13"/>
      <c r="S112" s="13" t="s">
        <v>583</v>
      </c>
      <c r="T112" s="13" t="s">
        <v>984</v>
      </c>
      <c r="U112" s="19">
        <v>1043151</v>
      </c>
      <c r="V112" s="20">
        <v>625890.6</v>
      </c>
      <c r="W112" s="20">
        <v>104315.1</v>
      </c>
      <c r="X112" s="17">
        <v>45337</v>
      </c>
      <c r="Y112" s="13" t="s">
        <v>3</v>
      </c>
      <c r="Z112" s="13" t="s">
        <v>1258</v>
      </c>
      <c r="AA112" s="13" t="s">
        <v>1258</v>
      </c>
      <c r="AB112" s="13" t="s">
        <v>4</v>
      </c>
      <c r="AC112" s="13" t="s">
        <v>3</v>
      </c>
      <c r="AD112" s="13" t="s">
        <v>1259</v>
      </c>
      <c r="AE112" s="19">
        <v>5920521</v>
      </c>
      <c r="AF112" s="36">
        <v>3552312.6</v>
      </c>
    </row>
    <row r="113" spans="1:32" x14ac:dyDescent="0.35">
      <c r="A113" s="34">
        <v>82984767666</v>
      </c>
      <c r="B113" s="13" t="s">
        <v>1267</v>
      </c>
      <c r="C113" s="13">
        <v>31929960239</v>
      </c>
      <c r="D113" s="13" t="s">
        <v>48</v>
      </c>
      <c r="E113" s="67" t="s">
        <v>60</v>
      </c>
      <c r="F113" s="13" t="s">
        <v>174</v>
      </c>
      <c r="G113" s="13" t="s">
        <v>463</v>
      </c>
      <c r="H113" s="13" t="s">
        <v>4</v>
      </c>
      <c r="I113" s="15">
        <v>0.5</v>
      </c>
      <c r="J113" s="16">
        <v>45173</v>
      </c>
      <c r="K113" s="17">
        <f t="shared" si="1"/>
        <v>45720</v>
      </c>
      <c r="L113" s="13" t="s">
        <v>465</v>
      </c>
      <c r="M113" s="17">
        <v>44940</v>
      </c>
      <c r="N113" s="17">
        <v>45230</v>
      </c>
      <c r="O113" s="13" t="s">
        <v>470</v>
      </c>
      <c r="P113" s="18" t="s">
        <v>469</v>
      </c>
      <c r="Q113" s="17">
        <v>45300</v>
      </c>
      <c r="R113" s="13"/>
      <c r="S113" s="13" t="s">
        <v>584</v>
      </c>
      <c r="T113" s="13" t="s">
        <v>985</v>
      </c>
      <c r="U113" s="19">
        <v>5920521</v>
      </c>
      <c r="V113" s="20">
        <v>3552312.6</v>
      </c>
      <c r="W113" s="20">
        <v>592052.1</v>
      </c>
      <c r="X113" s="17">
        <v>45303</v>
      </c>
      <c r="Y113" s="13" t="s">
        <v>4</v>
      </c>
      <c r="Z113" s="13" t="s">
        <v>1258</v>
      </c>
      <c r="AA113" s="13" t="s">
        <v>1258</v>
      </c>
      <c r="AB113" s="13" t="s">
        <v>3</v>
      </c>
      <c r="AC113" s="13" t="s">
        <v>4</v>
      </c>
      <c r="AD113" s="13" t="s">
        <v>1259</v>
      </c>
      <c r="AE113" s="19">
        <v>2340380</v>
      </c>
      <c r="AF113" s="36">
        <v>1404228</v>
      </c>
    </row>
    <row r="114" spans="1:32" x14ac:dyDescent="0.35">
      <c r="A114" s="34">
        <v>47892141472</v>
      </c>
      <c r="B114" s="13" t="s">
        <v>1267</v>
      </c>
      <c r="C114" s="13">
        <v>80277001358</v>
      </c>
      <c r="D114" s="13" t="s">
        <v>49</v>
      </c>
      <c r="E114" s="67" t="s">
        <v>55</v>
      </c>
      <c r="F114" s="13" t="s">
        <v>175</v>
      </c>
      <c r="G114" s="13" t="s">
        <v>462</v>
      </c>
      <c r="H114" s="13" t="s">
        <v>4</v>
      </c>
      <c r="I114" s="15">
        <v>0.6</v>
      </c>
      <c r="J114" s="16">
        <v>45213</v>
      </c>
      <c r="K114" s="17">
        <f t="shared" si="1"/>
        <v>45761</v>
      </c>
      <c r="L114" s="13" t="s">
        <v>464</v>
      </c>
      <c r="M114" s="17"/>
      <c r="N114" s="17"/>
      <c r="O114" s="13"/>
      <c r="P114" s="18"/>
      <c r="Q114" s="17"/>
      <c r="R114" s="13"/>
      <c r="S114" s="13" t="s">
        <v>585</v>
      </c>
      <c r="T114" s="13" t="s">
        <v>986</v>
      </c>
      <c r="U114" s="19">
        <v>2340380</v>
      </c>
      <c r="V114" s="20">
        <v>1404228</v>
      </c>
      <c r="W114" s="20">
        <v>234038</v>
      </c>
      <c r="X114" s="17">
        <v>45580</v>
      </c>
      <c r="Y114" s="13" t="s">
        <v>4</v>
      </c>
      <c r="Z114" s="13" t="s">
        <v>1258</v>
      </c>
      <c r="AA114" s="13" t="s">
        <v>1258</v>
      </c>
      <c r="AB114" s="13" t="s">
        <v>4</v>
      </c>
      <c r="AC114" s="13" t="s">
        <v>4</v>
      </c>
      <c r="AD114" s="13" t="s">
        <v>1258</v>
      </c>
      <c r="AE114" s="19">
        <v>9770486</v>
      </c>
      <c r="AF114" s="36">
        <v>5862291.5999999996</v>
      </c>
    </row>
    <row r="115" spans="1:32" x14ac:dyDescent="0.35">
      <c r="A115" s="34">
        <v>72396505696</v>
      </c>
      <c r="B115" s="13" t="s">
        <v>1267</v>
      </c>
      <c r="C115" s="13">
        <v>24651696118</v>
      </c>
      <c r="D115" s="13" t="s">
        <v>49</v>
      </c>
      <c r="E115" s="67" t="s">
        <v>54</v>
      </c>
      <c r="F115" s="13" t="s">
        <v>176</v>
      </c>
      <c r="G115" s="13" t="s">
        <v>462</v>
      </c>
      <c r="H115" s="13" t="s">
        <v>4</v>
      </c>
      <c r="I115" s="15">
        <v>0.7</v>
      </c>
      <c r="J115" s="16">
        <v>45129</v>
      </c>
      <c r="K115" s="17">
        <f t="shared" si="1"/>
        <v>45679</v>
      </c>
      <c r="L115" s="13" t="s">
        <v>465</v>
      </c>
      <c r="M115" s="17">
        <v>45154</v>
      </c>
      <c r="N115" s="17">
        <v>45287</v>
      </c>
      <c r="O115" s="13" t="s">
        <v>470</v>
      </c>
      <c r="P115" s="18" t="s">
        <v>471</v>
      </c>
      <c r="Q115" s="17">
        <v>45618</v>
      </c>
      <c r="R115" s="13"/>
      <c r="S115" s="13" t="s">
        <v>586</v>
      </c>
      <c r="T115" s="13" t="s">
        <v>987</v>
      </c>
      <c r="U115" s="19">
        <v>9770486</v>
      </c>
      <c r="V115" s="20">
        <v>5862291.5999999996</v>
      </c>
      <c r="W115" s="20">
        <v>977048.60000000009</v>
      </c>
      <c r="X115" s="17">
        <v>45338</v>
      </c>
      <c r="Y115" s="13" t="s">
        <v>4</v>
      </c>
      <c r="Z115" s="13" t="s">
        <v>1258</v>
      </c>
      <c r="AA115" s="13" t="s">
        <v>1258</v>
      </c>
      <c r="AB115" s="13" t="s">
        <v>4</v>
      </c>
      <c r="AC115" s="13" t="s">
        <v>4</v>
      </c>
      <c r="AD115" s="13" t="s">
        <v>1259</v>
      </c>
      <c r="AE115" s="19">
        <v>8170948</v>
      </c>
      <c r="AF115" s="36">
        <v>4902568.8</v>
      </c>
    </row>
    <row r="116" spans="1:32" x14ac:dyDescent="0.35">
      <c r="A116" s="34">
        <v>64808642783</v>
      </c>
      <c r="B116" s="13" t="s">
        <v>1267</v>
      </c>
      <c r="C116" s="13">
        <v>49649577194</v>
      </c>
      <c r="D116" s="13" t="s">
        <v>44</v>
      </c>
      <c r="E116" s="67" t="s">
        <v>51</v>
      </c>
      <c r="F116" s="13" t="s">
        <v>177</v>
      </c>
      <c r="G116" s="13" t="s">
        <v>462</v>
      </c>
      <c r="H116" s="13" t="s">
        <v>3</v>
      </c>
      <c r="I116" s="15">
        <v>0.6</v>
      </c>
      <c r="J116" s="16">
        <v>45125</v>
      </c>
      <c r="K116" s="17">
        <f t="shared" si="1"/>
        <v>45675</v>
      </c>
      <c r="L116" s="13" t="s">
        <v>464</v>
      </c>
      <c r="M116" s="17"/>
      <c r="N116" s="17"/>
      <c r="O116" s="13"/>
      <c r="P116" s="18"/>
      <c r="Q116" s="17"/>
      <c r="R116" s="13"/>
      <c r="S116" s="13" t="s">
        <v>587</v>
      </c>
      <c r="T116" s="13" t="s">
        <v>988</v>
      </c>
      <c r="U116" s="19">
        <v>8170948</v>
      </c>
      <c r="V116" s="20">
        <v>4902568.8</v>
      </c>
      <c r="W116" s="20">
        <v>817094.8</v>
      </c>
      <c r="X116" s="17">
        <v>45294</v>
      </c>
      <c r="Y116" s="13" t="s">
        <v>3</v>
      </c>
      <c r="Z116" s="13" t="s">
        <v>2</v>
      </c>
      <c r="AA116" s="13" t="s">
        <v>1258</v>
      </c>
      <c r="AB116" s="13" t="s">
        <v>4</v>
      </c>
      <c r="AC116" s="13" t="s">
        <v>3</v>
      </c>
      <c r="AD116" s="13" t="s">
        <v>1258</v>
      </c>
      <c r="AE116" s="19">
        <v>6852475</v>
      </c>
      <c r="AF116" s="36">
        <v>4111485</v>
      </c>
    </row>
    <row r="117" spans="1:32" x14ac:dyDescent="0.35">
      <c r="A117" s="34">
        <v>47794652231</v>
      </c>
      <c r="B117" s="13" t="s">
        <v>1267</v>
      </c>
      <c r="C117" s="13">
        <v>33080183619</v>
      </c>
      <c r="D117" s="13" t="s">
        <v>50</v>
      </c>
      <c r="E117" s="67" t="s">
        <v>51</v>
      </c>
      <c r="F117" s="13" t="s">
        <v>178</v>
      </c>
      <c r="G117" s="13" t="s">
        <v>462</v>
      </c>
      <c r="H117" s="13" t="s">
        <v>4</v>
      </c>
      <c r="I117" s="15">
        <v>0.6</v>
      </c>
      <c r="J117" s="16">
        <v>45217</v>
      </c>
      <c r="K117" s="17">
        <f t="shared" si="1"/>
        <v>45765</v>
      </c>
      <c r="L117" s="13" t="s">
        <v>465</v>
      </c>
      <c r="M117" s="17">
        <v>45079</v>
      </c>
      <c r="N117" s="17">
        <v>45352</v>
      </c>
      <c r="O117" s="13" t="s">
        <v>470</v>
      </c>
      <c r="P117" s="18" t="s">
        <v>471</v>
      </c>
      <c r="Q117" s="17">
        <v>45442</v>
      </c>
      <c r="R117" s="13"/>
      <c r="S117" s="13" t="s">
        <v>588</v>
      </c>
      <c r="T117" s="13" t="s">
        <v>989</v>
      </c>
      <c r="U117" s="19">
        <v>6852475</v>
      </c>
      <c r="V117" s="20">
        <v>4111485</v>
      </c>
      <c r="W117" s="20">
        <v>685247.5</v>
      </c>
      <c r="X117" s="17">
        <v>45356</v>
      </c>
      <c r="Y117" s="13" t="s">
        <v>4</v>
      </c>
      <c r="Z117" s="13" t="s">
        <v>1258</v>
      </c>
      <c r="AA117" s="13" t="s">
        <v>1258</v>
      </c>
      <c r="AB117" s="13" t="s">
        <v>4</v>
      </c>
      <c r="AC117" s="13" t="s">
        <v>4</v>
      </c>
      <c r="AD117" s="13" t="s">
        <v>1259</v>
      </c>
      <c r="AE117" s="19">
        <v>6935565</v>
      </c>
      <c r="AF117" s="36">
        <v>4161339</v>
      </c>
    </row>
    <row r="118" spans="1:32" x14ac:dyDescent="0.35">
      <c r="A118" s="34">
        <v>55513208817</v>
      </c>
      <c r="B118" s="13" t="s">
        <v>1267</v>
      </c>
      <c r="C118" s="13">
        <v>17505657414</v>
      </c>
      <c r="D118" s="13" t="s">
        <v>46</v>
      </c>
      <c r="E118" s="67" t="s">
        <v>59</v>
      </c>
      <c r="F118" s="13" t="s">
        <v>179</v>
      </c>
      <c r="G118" s="13" t="s">
        <v>462</v>
      </c>
      <c r="H118" s="13" t="s">
        <v>3</v>
      </c>
      <c r="I118" s="15">
        <v>0.6</v>
      </c>
      <c r="J118" s="16">
        <v>45041</v>
      </c>
      <c r="K118" s="17">
        <f t="shared" si="1"/>
        <v>45590</v>
      </c>
      <c r="L118" s="13" t="s">
        <v>465</v>
      </c>
      <c r="M118" s="17">
        <v>45119</v>
      </c>
      <c r="N118" s="17">
        <v>45172</v>
      </c>
      <c r="O118" s="13" t="s">
        <v>470</v>
      </c>
      <c r="P118" s="18" t="s">
        <v>471</v>
      </c>
      <c r="Q118" s="17">
        <v>45655</v>
      </c>
      <c r="R118" s="13"/>
      <c r="S118" s="13" t="s">
        <v>589</v>
      </c>
      <c r="T118" s="13" t="s">
        <v>990</v>
      </c>
      <c r="U118" s="19">
        <v>6935565</v>
      </c>
      <c r="V118" s="20">
        <v>4161339</v>
      </c>
      <c r="W118" s="20">
        <v>693556.5</v>
      </c>
      <c r="X118" s="17">
        <v>45382</v>
      </c>
      <c r="Y118" s="13" t="s">
        <v>3</v>
      </c>
      <c r="Z118" s="13" t="s">
        <v>2</v>
      </c>
      <c r="AA118" s="13" t="s">
        <v>1258</v>
      </c>
      <c r="AB118" s="13" t="s">
        <v>4</v>
      </c>
      <c r="AC118" s="13" t="s">
        <v>3</v>
      </c>
      <c r="AD118" s="13" t="s">
        <v>1259</v>
      </c>
      <c r="AE118" s="19">
        <v>4932029</v>
      </c>
      <c r="AF118" s="36">
        <v>2959217.4</v>
      </c>
    </row>
    <row r="119" spans="1:32" x14ac:dyDescent="0.35">
      <c r="A119" s="34">
        <v>78368622875</v>
      </c>
      <c r="B119" s="13" t="s">
        <v>1267</v>
      </c>
      <c r="C119" s="13">
        <v>72182543056</v>
      </c>
      <c r="D119" s="13" t="s">
        <v>42</v>
      </c>
      <c r="E119" s="67" t="s">
        <v>60</v>
      </c>
      <c r="F119" s="13" t="s">
        <v>180</v>
      </c>
      <c r="G119" s="13" t="s">
        <v>462</v>
      </c>
      <c r="H119" s="13" t="s">
        <v>4</v>
      </c>
      <c r="I119" s="15">
        <v>0.7</v>
      </c>
      <c r="J119" s="16">
        <v>45096</v>
      </c>
      <c r="K119" s="17">
        <f t="shared" si="1"/>
        <v>45645</v>
      </c>
      <c r="L119" s="13" t="s">
        <v>464</v>
      </c>
      <c r="M119" s="17"/>
      <c r="N119" s="17"/>
      <c r="O119" s="13"/>
      <c r="P119" s="18"/>
      <c r="Q119" s="17"/>
      <c r="R119" s="13"/>
      <c r="S119" s="13" t="s">
        <v>590</v>
      </c>
      <c r="T119" s="13" t="s">
        <v>991</v>
      </c>
      <c r="U119" s="19">
        <v>4932029</v>
      </c>
      <c r="V119" s="20">
        <v>2959217.4</v>
      </c>
      <c r="W119" s="20">
        <v>493202.9</v>
      </c>
      <c r="X119" s="17">
        <v>45373</v>
      </c>
      <c r="Y119" s="13" t="s">
        <v>4</v>
      </c>
      <c r="Z119" s="13" t="s">
        <v>1258</v>
      </c>
      <c r="AA119" s="13" t="s">
        <v>1258</v>
      </c>
      <c r="AB119" s="13" t="s">
        <v>4</v>
      </c>
      <c r="AC119" s="13" t="s">
        <v>4</v>
      </c>
      <c r="AD119" s="13" t="s">
        <v>1258</v>
      </c>
      <c r="AE119" s="19">
        <v>7561447</v>
      </c>
      <c r="AF119" s="36">
        <v>4536868.2</v>
      </c>
    </row>
    <row r="120" spans="1:32" x14ac:dyDescent="0.35">
      <c r="A120" s="34">
        <v>45995697465</v>
      </c>
      <c r="B120" s="13" t="s">
        <v>1267</v>
      </c>
      <c r="C120" s="13">
        <v>65001878593</v>
      </c>
      <c r="D120" s="13" t="s">
        <v>44</v>
      </c>
      <c r="E120" s="67" t="s">
        <v>57</v>
      </c>
      <c r="F120" s="13" t="s">
        <v>181</v>
      </c>
      <c r="G120" s="13" t="s">
        <v>462</v>
      </c>
      <c r="H120" s="13" t="s">
        <v>3</v>
      </c>
      <c r="I120" s="15">
        <v>0.6</v>
      </c>
      <c r="J120" s="16">
        <v>45025</v>
      </c>
      <c r="K120" s="17">
        <f t="shared" si="1"/>
        <v>45574</v>
      </c>
      <c r="L120" s="13" t="s">
        <v>464</v>
      </c>
      <c r="M120" s="17"/>
      <c r="N120" s="17"/>
      <c r="O120" s="13"/>
      <c r="P120" s="18"/>
      <c r="Q120" s="17"/>
      <c r="R120" s="13"/>
      <c r="S120" s="13" t="s">
        <v>591</v>
      </c>
      <c r="T120" s="13" t="s">
        <v>992</v>
      </c>
      <c r="U120" s="19">
        <v>7561447</v>
      </c>
      <c r="V120" s="20">
        <v>4536868.2</v>
      </c>
      <c r="W120" s="20">
        <v>756144.70000000007</v>
      </c>
      <c r="X120" s="17">
        <v>45352</v>
      </c>
      <c r="Y120" s="13" t="s">
        <v>3</v>
      </c>
      <c r="Z120" s="13" t="s">
        <v>2</v>
      </c>
      <c r="AA120" s="13" t="s">
        <v>1258</v>
      </c>
      <c r="AB120" s="13" t="s">
        <v>4</v>
      </c>
      <c r="AC120" s="13" t="s">
        <v>3</v>
      </c>
      <c r="AD120" s="13" t="s">
        <v>1259</v>
      </c>
      <c r="AE120" s="19">
        <v>9248759</v>
      </c>
      <c r="AF120" s="36">
        <v>5549255.3999999994</v>
      </c>
    </row>
    <row r="121" spans="1:32" x14ac:dyDescent="0.35">
      <c r="A121" s="34">
        <v>68551993849</v>
      </c>
      <c r="B121" s="13" t="s">
        <v>1267</v>
      </c>
      <c r="C121" s="13">
        <v>61989809632</v>
      </c>
      <c r="D121" s="13" t="s">
        <v>49</v>
      </c>
      <c r="E121" s="67" t="s">
        <v>60</v>
      </c>
      <c r="F121" s="13" t="s">
        <v>182</v>
      </c>
      <c r="G121" s="13" t="s">
        <v>462</v>
      </c>
      <c r="H121" s="13" t="s">
        <v>4</v>
      </c>
      <c r="I121" s="15">
        <v>0.6</v>
      </c>
      <c r="J121" s="16">
        <v>45068</v>
      </c>
      <c r="K121" s="17">
        <f t="shared" si="1"/>
        <v>45618</v>
      </c>
      <c r="L121" s="13" t="s">
        <v>464</v>
      </c>
      <c r="M121" s="17"/>
      <c r="N121" s="17"/>
      <c r="O121" s="13"/>
      <c r="P121" s="18"/>
      <c r="Q121" s="17"/>
      <c r="R121" s="13"/>
      <c r="S121" s="13" t="s">
        <v>592</v>
      </c>
      <c r="T121" s="13" t="s">
        <v>993</v>
      </c>
      <c r="U121" s="19">
        <v>9248759</v>
      </c>
      <c r="V121" s="20">
        <v>5549255.3999999994</v>
      </c>
      <c r="W121" s="20">
        <v>924875.9</v>
      </c>
      <c r="X121" s="17">
        <v>45381</v>
      </c>
      <c r="Y121" s="13" t="s">
        <v>4</v>
      </c>
      <c r="Z121" s="13" t="s">
        <v>2</v>
      </c>
      <c r="AA121" s="13" t="s">
        <v>1258</v>
      </c>
      <c r="AB121" s="13" t="s">
        <v>4</v>
      </c>
      <c r="AC121" s="13" t="s">
        <v>4</v>
      </c>
      <c r="AD121" s="13" t="s">
        <v>1259</v>
      </c>
      <c r="AE121" s="19">
        <v>7782957</v>
      </c>
      <c r="AF121" s="36">
        <v>4669774.2</v>
      </c>
    </row>
    <row r="122" spans="1:32" x14ac:dyDescent="0.35">
      <c r="A122" s="34">
        <v>11873614545</v>
      </c>
      <c r="B122" s="13" t="s">
        <v>1267</v>
      </c>
      <c r="C122" s="13">
        <v>40141438855</v>
      </c>
      <c r="D122" s="13" t="s">
        <v>50</v>
      </c>
      <c r="E122" s="67" t="s">
        <v>57</v>
      </c>
      <c r="F122" s="13" t="s">
        <v>183</v>
      </c>
      <c r="G122" s="13" t="s">
        <v>462</v>
      </c>
      <c r="H122" s="13" t="s">
        <v>4</v>
      </c>
      <c r="I122" s="15">
        <v>0.6</v>
      </c>
      <c r="J122" s="16">
        <v>45197</v>
      </c>
      <c r="K122" s="17">
        <f t="shared" si="1"/>
        <v>45744</v>
      </c>
      <c r="L122" s="13" t="s">
        <v>465</v>
      </c>
      <c r="M122" s="17">
        <v>45283</v>
      </c>
      <c r="N122" s="17">
        <v>45198</v>
      </c>
      <c r="O122" s="13" t="s">
        <v>470</v>
      </c>
      <c r="P122" s="18" t="s">
        <v>469</v>
      </c>
      <c r="Q122" s="17">
        <v>45344</v>
      </c>
      <c r="R122" s="13"/>
      <c r="S122" s="13" t="s">
        <v>593</v>
      </c>
      <c r="T122" s="13" t="s">
        <v>994</v>
      </c>
      <c r="U122" s="19">
        <v>7782957</v>
      </c>
      <c r="V122" s="20">
        <v>4669774.2</v>
      </c>
      <c r="W122" s="20">
        <v>778295.70000000007</v>
      </c>
      <c r="X122" s="17">
        <v>45398</v>
      </c>
      <c r="Y122" s="13" t="s">
        <v>4</v>
      </c>
      <c r="Z122" s="13" t="s">
        <v>1258</v>
      </c>
      <c r="AA122" s="13" t="s">
        <v>1258</v>
      </c>
      <c r="AB122" s="13" t="s">
        <v>4</v>
      </c>
      <c r="AC122" s="13" t="s">
        <v>4</v>
      </c>
      <c r="AD122" s="13" t="s">
        <v>1258</v>
      </c>
      <c r="AE122" s="19">
        <v>4013564</v>
      </c>
      <c r="AF122" s="36">
        <v>2408138.4</v>
      </c>
    </row>
    <row r="123" spans="1:32" x14ac:dyDescent="0.35">
      <c r="A123" s="34">
        <v>27893270819</v>
      </c>
      <c r="B123" s="13" t="s">
        <v>1267</v>
      </c>
      <c r="C123" s="13">
        <v>87165849141</v>
      </c>
      <c r="D123" s="13" t="s">
        <v>41</v>
      </c>
      <c r="E123" s="67" t="s">
        <v>53</v>
      </c>
      <c r="F123" s="13" t="s">
        <v>184</v>
      </c>
      <c r="G123" s="13" t="s">
        <v>462</v>
      </c>
      <c r="H123" s="13" t="s">
        <v>3</v>
      </c>
      <c r="I123" s="15">
        <v>0.6</v>
      </c>
      <c r="J123" s="16">
        <v>45067</v>
      </c>
      <c r="K123" s="17">
        <f t="shared" si="1"/>
        <v>45617</v>
      </c>
      <c r="L123" s="13" t="s">
        <v>464</v>
      </c>
      <c r="M123" s="17"/>
      <c r="N123" s="17"/>
      <c r="O123" s="13"/>
      <c r="P123" s="18"/>
      <c r="Q123" s="17"/>
      <c r="R123" s="13"/>
      <c r="S123" s="13" t="s">
        <v>594</v>
      </c>
      <c r="T123" s="13" t="s">
        <v>870</v>
      </c>
      <c r="U123" s="19">
        <v>4013564</v>
      </c>
      <c r="V123" s="20">
        <v>2408138.4</v>
      </c>
      <c r="W123" s="20">
        <v>401356.4</v>
      </c>
      <c r="X123" s="17">
        <v>45296</v>
      </c>
      <c r="Y123" s="13" t="s">
        <v>3</v>
      </c>
      <c r="Z123" s="13" t="s">
        <v>2</v>
      </c>
      <c r="AA123" s="13" t="s">
        <v>1258</v>
      </c>
      <c r="AB123" s="13" t="s">
        <v>4</v>
      </c>
      <c r="AC123" s="13" t="s">
        <v>3</v>
      </c>
      <c r="AD123" s="13" t="s">
        <v>1258</v>
      </c>
      <c r="AE123" s="19">
        <v>9054868</v>
      </c>
      <c r="AF123" s="36">
        <v>5432920.7999999998</v>
      </c>
    </row>
    <row r="124" spans="1:32" x14ac:dyDescent="0.35">
      <c r="A124" s="34">
        <v>85243552775</v>
      </c>
      <c r="B124" s="13" t="s">
        <v>1267</v>
      </c>
      <c r="C124" s="13">
        <v>56319230872</v>
      </c>
      <c r="D124" s="13" t="s">
        <v>47</v>
      </c>
      <c r="E124" s="67" t="s">
        <v>51</v>
      </c>
      <c r="F124" s="13" t="s">
        <v>185</v>
      </c>
      <c r="G124" s="13" t="s">
        <v>463</v>
      </c>
      <c r="H124" s="13" t="s">
        <v>4</v>
      </c>
      <c r="I124" s="15">
        <v>0.7</v>
      </c>
      <c r="J124" s="16">
        <v>44976</v>
      </c>
      <c r="K124" s="17">
        <f t="shared" si="1"/>
        <v>45523</v>
      </c>
      <c r="L124" s="13" t="s">
        <v>464</v>
      </c>
      <c r="M124" s="17"/>
      <c r="N124" s="17"/>
      <c r="O124" s="13"/>
      <c r="P124" s="18"/>
      <c r="Q124" s="17"/>
      <c r="R124" s="13"/>
      <c r="S124" s="13" t="s">
        <v>595</v>
      </c>
      <c r="T124" s="13" t="s">
        <v>995</v>
      </c>
      <c r="U124" s="19">
        <v>9054868</v>
      </c>
      <c r="V124" s="20">
        <v>5432920.7999999998</v>
      </c>
      <c r="W124" s="20">
        <v>905486.8</v>
      </c>
      <c r="X124" s="17">
        <v>45638</v>
      </c>
      <c r="Y124" s="13" t="s">
        <v>4</v>
      </c>
      <c r="Z124" s="13" t="s">
        <v>1258</v>
      </c>
      <c r="AA124" s="13" t="s">
        <v>1258</v>
      </c>
      <c r="AB124" s="13" t="s">
        <v>4</v>
      </c>
      <c r="AC124" s="13" t="s">
        <v>4</v>
      </c>
      <c r="AD124" s="13" t="s">
        <v>1258</v>
      </c>
      <c r="AE124" s="19">
        <v>7794677</v>
      </c>
      <c r="AF124" s="36">
        <v>4676806.2</v>
      </c>
    </row>
    <row r="125" spans="1:32" x14ac:dyDescent="0.35">
      <c r="A125" s="34">
        <v>79497347500</v>
      </c>
      <c r="B125" s="13" t="s">
        <v>1267</v>
      </c>
      <c r="C125" s="13">
        <v>39314983026</v>
      </c>
      <c r="D125" s="13" t="s">
        <v>41</v>
      </c>
      <c r="E125" s="67" t="s">
        <v>53</v>
      </c>
      <c r="F125" s="13" t="s">
        <v>186</v>
      </c>
      <c r="G125" s="13" t="s">
        <v>462</v>
      </c>
      <c r="H125" s="13" t="s">
        <v>3</v>
      </c>
      <c r="I125" s="15">
        <v>0.5</v>
      </c>
      <c r="J125" s="16">
        <v>45190</v>
      </c>
      <c r="K125" s="17">
        <f t="shared" si="1"/>
        <v>45737</v>
      </c>
      <c r="L125" s="13" t="s">
        <v>465</v>
      </c>
      <c r="M125" s="17">
        <v>45020</v>
      </c>
      <c r="N125" s="17">
        <v>45311</v>
      </c>
      <c r="O125" s="13" t="s">
        <v>470</v>
      </c>
      <c r="P125" s="18" t="s">
        <v>471</v>
      </c>
      <c r="Q125" s="17">
        <v>45570</v>
      </c>
      <c r="R125" s="13"/>
      <c r="S125" s="13" t="s">
        <v>596</v>
      </c>
      <c r="T125" s="13" t="s">
        <v>996</v>
      </c>
      <c r="U125" s="19">
        <v>7794677</v>
      </c>
      <c r="V125" s="20">
        <v>4676806.2</v>
      </c>
      <c r="W125" s="20">
        <v>779467.70000000007</v>
      </c>
      <c r="X125" s="17">
        <v>45385</v>
      </c>
      <c r="Y125" s="13" t="s">
        <v>3</v>
      </c>
      <c r="Z125" s="13" t="s">
        <v>2</v>
      </c>
      <c r="AA125" s="13" t="s">
        <v>1258</v>
      </c>
      <c r="AB125" s="13" t="s">
        <v>4</v>
      </c>
      <c r="AC125" s="13" t="s">
        <v>3</v>
      </c>
      <c r="AD125" s="13" t="s">
        <v>1259</v>
      </c>
      <c r="AE125" s="19">
        <v>2356789</v>
      </c>
      <c r="AF125" s="36">
        <v>1414073.4</v>
      </c>
    </row>
    <row r="126" spans="1:32" x14ac:dyDescent="0.35">
      <c r="A126" s="34">
        <v>86876740533</v>
      </c>
      <c r="B126" s="13" t="s">
        <v>1267</v>
      </c>
      <c r="C126" s="13">
        <v>45767749037</v>
      </c>
      <c r="D126" s="13" t="s">
        <v>41</v>
      </c>
      <c r="E126" s="67" t="s">
        <v>51</v>
      </c>
      <c r="F126" s="13" t="s">
        <v>187</v>
      </c>
      <c r="G126" s="13" t="s">
        <v>462</v>
      </c>
      <c r="H126" s="13" t="s">
        <v>3</v>
      </c>
      <c r="I126" s="15">
        <v>0.6</v>
      </c>
      <c r="J126" s="16">
        <v>45136</v>
      </c>
      <c r="K126" s="17">
        <f t="shared" si="1"/>
        <v>45686</v>
      </c>
      <c r="L126" s="13" t="s">
        <v>464</v>
      </c>
      <c r="M126" s="17"/>
      <c r="N126" s="17"/>
      <c r="O126" s="13"/>
      <c r="P126" s="18"/>
      <c r="Q126" s="17"/>
      <c r="R126" s="13"/>
      <c r="S126" s="13" t="s">
        <v>597</v>
      </c>
      <c r="T126" s="13" t="s">
        <v>997</v>
      </c>
      <c r="U126" s="19">
        <v>2356789</v>
      </c>
      <c r="V126" s="20">
        <v>1414073.4</v>
      </c>
      <c r="W126" s="20">
        <v>235678.90000000002</v>
      </c>
      <c r="X126" s="17">
        <v>45644</v>
      </c>
      <c r="Y126" s="13" t="s">
        <v>3</v>
      </c>
      <c r="Z126" s="13" t="s">
        <v>1258</v>
      </c>
      <c r="AA126" s="13" t="s">
        <v>1258</v>
      </c>
      <c r="AB126" s="13" t="s">
        <v>4</v>
      </c>
      <c r="AC126" s="13" t="s">
        <v>3</v>
      </c>
      <c r="AD126" s="13" t="s">
        <v>1259</v>
      </c>
      <c r="AE126" s="19">
        <v>2927282</v>
      </c>
      <c r="AF126" s="36">
        <v>1756369.2</v>
      </c>
    </row>
    <row r="127" spans="1:32" x14ac:dyDescent="0.35">
      <c r="A127" s="34">
        <v>34734877026</v>
      </c>
      <c r="B127" s="13" t="s">
        <v>1267</v>
      </c>
      <c r="C127" s="13">
        <v>16260093598</v>
      </c>
      <c r="D127" s="13" t="s">
        <v>44</v>
      </c>
      <c r="E127" s="67" t="s">
        <v>53</v>
      </c>
      <c r="F127" s="13" t="s">
        <v>188</v>
      </c>
      <c r="G127" s="13" t="s">
        <v>463</v>
      </c>
      <c r="H127" s="13" t="s">
        <v>3</v>
      </c>
      <c r="I127" s="15">
        <v>0.6</v>
      </c>
      <c r="J127" s="16">
        <v>45221</v>
      </c>
      <c r="K127" s="17">
        <f t="shared" si="1"/>
        <v>45769</v>
      </c>
      <c r="L127" s="13" t="s">
        <v>465</v>
      </c>
      <c r="M127" s="17">
        <v>45234</v>
      </c>
      <c r="N127" s="17">
        <v>45430</v>
      </c>
      <c r="O127" s="13" t="s">
        <v>468</v>
      </c>
      <c r="P127" s="18" t="s">
        <v>471</v>
      </c>
      <c r="Q127" s="17">
        <v>45427</v>
      </c>
      <c r="R127" s="13"/>
      <c r="S127" s="13" t="s">
        <v>598</v>
      </c>
      <c r="T127" s="13" t="s">
        <v>998</v>
      </c>
      <c r="U127" s="19">
        <v>2927282</v>
      </c>
      <c r="V127" s="20">
        <v>1756369.2</v>
      </c>
      <c r="W127" s="20">
        <v>292728.2</v>
      </c>
      <c r="X127" s="17">
        <v>45378</v>
      </c>
      <c r="Y127" s="13" t="s">
        <v>3</v>
      </c>
      <c r="Z127" s="13" t="s">
        <v>2</v>
      </c>
      <c r="AA127" s="13" t="s">
        <v>1258</v>
      </c>
      <c r="AB127" s="13" t="s">
        <v>4</v>
      </c>
      <c r="AC127" s="13" t="s">
        <v>3</v>
      </c>
      <c r="AD127" s="13" t="s">
        <v>1259</v>
      </c>
      <c r="AE127" s="19">
        <v>1843779</v>
      </c>
      <c r="AF127" s="36">
        <v>1106267.3999999999</v>
      </c>
    </row>
    <row r="128" spans="1:32" x14ac:dyDescent="0.35">
      <c r="A128" s="34">
        <v>34365423423</v>
      </c>
      <c r="B128" s="13" t="s">
        <v>1267</v>
      </c>
      <c r="C128" s="13">
        <v>99348049047</v>
      </c>
      <c r="D128" s="13" t="s">
        <v>45</v>
      </c>
      <c r="E128" s="67" t="s">
        <v>59</v>
      </c>
      <c r="F128" s="13" t="s">
        <v>189</v>
      </c>
      <c r="G128" s="13" t="s">
        <v>463</v>
      </c>
      <c r="H128" s="13" t="s">
        <v>3</v>
      </c>
      <c r="I128" s="15">
        <v>0.6</v>
      </c>
      <c r="J128" s="16">
        <v>45148</v>
      </c>
      <c r="K128" s="17">
        <f t="shared" si="1"/>
        <v>45698</v>
      </c>
      <c r="L128" s="13" t="s">
        <v>465</v>
      </c>
      <c r="M128" s="17">
        <v>45187</v>
      </c>
      <c r="N128" s="17">
        <v>45395</v>
      </c>
      <c r="O128" s="13" t="s">
        <v>470</v>
      </c>
      <c r="P128" s="18" t="s">
        <v>471</v>
      </c>
      <c r="Q128" s="17">
        <v>45519</v>
      </c>
      <c r="R128" s="13"/>
      <c r="S128" s="13" t="s">
        <v>599</v>
      </c>
      <c r="T128" s="13" t="s">
        <v>999</v>
      </c>
      <c r="U128" s="19">
        <v>1843779</v>
      </c>
      <c r="V128" s="20">
        <v>1106267.3999999999</v>
      </c>
      <c r="W128" s="20">
        <v>184377.90000000002</v>
      </c>
      <c r="X128" s="17">
        <v>45565</v>
      </c>
      <c r="Y128" s="13" t="s">
        <v>3</v>
      </c>
      <c r="Z128" s="13" t="s">
        <v>2</v>
      </c>
      <c r="AA128" s="13" t="s">
        <v>1258</v>
      </c>
      <c r="AB128" s="13" t="s">
        <v>4</v>
      </c>
      <c r="AC128" s="13" t="s">
        <v>3</v>
      </c>
      <c r="AD128" s="13" t="s">
        <v>1259</v>
      </c>
      <c r="AE128" s="19">
        <v>7724199</v>
      </c>
      <c r="AF128" s="36">
        <v>4634519.3999999994</v>
      </c>
    </row>
    <row r="129" spans="1:32" x14ac:dyDescent="0.35">
      <c r="A129" s="34">
        <v>86624043192</v>
      </c>
      <c r="B129" s="13" t="s">
        <v>1267</v>
      </c>
      <c r="C129" s="13">
        <v>52900249370</v>
      </c>
      <c r="D129" s="13" t="s">
        <v>43</v>
      </c>
      <c r="E129" s="67" t="s">
        <v>51</v>
      </c>
      <c r="F129" s="13" t="s">
        <v>190</v>
      </c>
      <c r="G129" s="13" t="s">
        <v>462</v>
      </c>
      <c r="H129" s="13" t="s">
        <v>4</v>
      </c>
      <c r="I129" s="15">
        <v>0.6</v>
      </c>
      <c r="J129" s="16">
        <v>45068</v>
      </c>
      <c r="K129" s="17">
        <f t="shared" si="1"/>
        <v>45618</v>
      </c>
      <c r="L129" s="13" t="s">
        <v>465</v>
      </c>
      <c r="M129" s="17">
        <v>45274</v>
      </c>
      <c r="N129" s="17">
        <v>45274</v>
      </c>
      <c r="O129" s="13" t="s">
        <v>468</v>
      </c>
      <c r="P129" s="18" t="s">
        <v>471</v>
      </c>
      <c r="Q129" s="17">
        <v>45429</v>
      </c>
      <c r="R129" s="13"/>
      <c r="S129" s="13" t="s">
        <v>600</v>
      </c>
      <c r="T129" s="13" t="s">
        <v>1000</v>
      </c>
      <c r="U129" s="19">
        <v>7724199</v>
      </c>
      <c r="V129" s="20">
        <v>4634519.3999999994</v>
      </c>
      <c r="W129" s="20">
        <v>772419.9</v>
      </c>
      <c r="X129" s="17">
        <v>45471</v>
      </c>
      <c r="Y129" s="13" t="s">
        <v>4</v>
      </c>
      <c r="Z129" s="13" t="s">
        <v>2</v>
      </c>
      <c r="AA129" s="13" t="s">
        <v>1258</v>
      </c>
      <c r="AB129" s="13" t="s">
        <v>4</v>
      </c>
      <c r="AC129" s="13" t="s">
        <v>4</v>
      </c>
      <c r="AD129" s="13" t="s">
        <v>1259</v>
      </c>
      <c r="AE129" s="19">
        <v>3375082</v>
      </c>
      <c r="AF129" s="36">
        <v>2025049.2</v>
      </c>
    </row>
    <row r="130" spans="1:32" x14ac:dyDescent="0.35">
      <c r="A130" s="34">
        <v>21854998169</v>
      </c>
      <c r="B130" s="13" t="s">
        <v>1267</v>
      </c>
      <c r="C130" s="13">
        <v>42771876755</v>
      </c>
      <c r="D130" s="13" t="s">
        <v>43</v>
      </c>
      <c r="E130" s="67" t="s">
        <v>53</v>
      </c>
      <c r="F130" s="13" t="s">
        <v>191</v>
      </c>
      <c r="G130" s="13" t="s">
        <v>462</v>
      </c>
      <c r="H130" s="13" t="s">
        <v>3</v>
      </c>
      <c r="I130" s="15">
        <v>0.7</v>
      </c>
      <c r="J130" s="16">
        <v>45265</v>
      </c>
      <c r="K130" s="17">
        <f t="shared" si="1"/>
        <v>45813</v>
      </c>
      <c r="L130" s="13" t="s">
        <v>465</v>
      </c>
      <c r="M130" s="17">
        <v>45275</v>
      </c>
      <c r="N130" s="17">
        <v>45333</v>
      </c>
      <c r="O130" s="13" t="s">
        <v>470</v>
      </c>
      <c r="P130" s="18" t="s">
        <v>469</v>
      </c>
      <c r="Q130" s="17">
        <v>45301</v>
      </c>
      <c r="R130" s="13"/>
      <c r="S130" s="13" t="s">
        <v>601</v>
      </c>
      <c r="T130" s="13" t="s">
        <v>1001</v>
      </c>
      <c r="U130" s="19">
        <v>3375082</v>
      </c>
      <c r="V130" s="20">
        <v>2025049.2</v>
      </c>
      <c r="W130" s="20">
        <v>337508.2</v>
      </c>
      <c r="X130" s="17">
        <v>45514</v>
      </c>
      <c r="Y130" s="13" t="s">
        <v>3</v>
      </c>
      <c r="Z130" s="13" t="s">
        <v>2</v>
      </c>
      <c r="AA130" s="13" t="s">
        <v>1258</v>
      </c>
      <c r="AB130" s="13" t="s">
        <v>4</v>
      </c>
      <c r="AC130" s="13" t="s">
        <v>3</v>
      </c>
      <c r="AD130" s="13" t="s">
        <v>1258</v>
      </c>
      <c r="AE130" s="19">
        <v>7935560</v>
      </c>
      <c r="AF130" s="36">
        <v>4761336</v>
      </c>
    </row>
    <row r="131" spans="1:32" x14ac:dyDescent="0.35">
      <c r="A131" s="34">
        <v>40206434093</v>
      </c>
      <c r="B131" s="13" t="s">
        <v>1267</v>
      </c>
      <c r="C131" s="13">
        <v>32840740012</v>
      </c>
      <c r="D131" s="13" t="s">
        <v>42</v>
      </c>
      <c r="E131" s="67" t="s">
        <v>51</v>
      </c>
      <c r="F131" s="13" t="s">
        <v>192</v>
      </c>
      <c r="G131" s="13" t="s">
        <v>463</v>
      </c>
      <c r="H131" s="13" t="s">
        <v>3</v>
      </c>
      <c r="I131" s="15">
        <v>0.7</v>
      </c>
      <c r="J131" s="16">
        <v>45188</v>
      </c>
      <c r="K131" s="17">
        <f t="shared" si="1"/>
        <v>45735</v>
      </c>
      <c r="L131" s="13" t="s">
        <v>464</v>
      </c>
      <c r="M131" s="17"/>
      <c r="N131" s="17"/>
      <c r="O131" s="13"/>
      <c r="P131" s="18"/>
      <c r="Q131" s="17"/>
      <c r="R131" s="13"/>
      <c r="S131" s="13" t="s">
        <v>602</v>
      </c>
      <c r="T131" s="13" t="s">
        <v>1002</v>
      </c>
      <c r="U131" s="19">
        <v>7935560</v>
      </c>
      <c r="V131" s="20">
        <v>4761336</v>
      </c>
      <c r="W131" s="20">
        <v>793556</v>
      </c>
      <c r="X131" s="17">
        <v>45317</v>
      </c>
      <c r="Y131" s="13" t="s">
        <v>3</v>
      </c>
      <c r="Z131" s="13" t="s">
        <v>1258</v>
      </c>
      <c r="AA131" s="13" t="s">
        <v>1258</v>
      </c>
      <c r="AB131" s="13" t="s">
        <v>4</v>
      </c>
      <c r="AC131" s="13" t="s">
        <v>3</v>
      </c>
      <c r="AD131" s="13" t="s">
        <v>1258</v>
      </c>
      <c r="AE131" s="19">
        <v>8268235</v>
      </c>
      <c r="AF131" s="36">
        <v>4960941</v>
      </c>
    </row>
    <row r="132" spans="1:32" x14ac:dyDescent="0.35">
      <c r="A132" s="34">
        <v>13755553134</v>
      </c>
      <c r="B132" s="13" t="s">
        <v>1267</v>
      </c>
      <c r="C132" s="13">
        <v>81868704360</v>
      </c>
      <c r="D132" s="13" t="s">
        <v>41</v>
      </c>
      <c r="E132" s="67" t="s">
        <v>53</v>
      </c>
      <c r="F132" s="13" t="s">
        <v>193</v>
      </c>
      <c r="G132" s="13" t="s">
        <v>463</v>
      </c>
      <c r="H132" s="13" t="s">
        <v>3</v>
      </c>
      <c r="I132" s="15">
        <v>0.6</v>
      </c>
      <c r="J132" s="16">
        <v>45161</v>
      </c>
      <c r="K132" s="17">
        <f t="shared" ref="K132:K195" si="2">EDATE(J132,18)</f>
        <v>45711</v>
      </c>
      <c r="L132" s="13" t="s">
        <v>465</v>
      </c>
      <c r="M132" s="17">
        <v>45002</v>
      </c>
      <c r="N132" s="17">
        <v>45522</v>
      </c>
      <c r="O132" s="13" t="s">
        <v>470</v>
      </c>
      <c r="P132" s="18" t="s">
        <v>471</v>
      </c>
      <c r="Q132" s="17">
        <v>45295</v>
      </c>
      <c r="R132" s="13"/>
      <c r="S132" s="13" t="s">
        <v>603</v>
      </c>
      <c r="T132" s="13" t="s">
        <v>1003</v>
      </c>
      <c r="U132" s="19">
        <v>8268235</v>
      </c>
      <c r="V132" s="20">
        <v>4960941</v>
      </c>
      <c r="W132" s="20">
        <v>826823.5</v>
      </c>
      <c r="X132" s="17">
        <v>45381</v>
      </c>
      <c r="Y132" s="13" t="s">
        <v>3</v>
      </c>
      <c r="Z132" s="13" t="s">
        <v>1258</v>
      </c>
      <c r="AA132" s="13" t="s">
        <v>1258</v>
      </c>
      <c r="AB132" s="13" t="s">
        <v>4</v>
      </c>
      <c r="AC132" s="13" t="s">
        <v>3</v>
      </c>
      <c r="AD132" s="13" t="s">
        <v>1259</v>
      </c>
      <c r="AE132" s="19">
        <v>1271994</v>
      </c>
      <c r="AF132" s="36">
        <v>763196.4</v>
      </c>
    </row>
    <row r="133" spans="1:32" x14ac:dyDescent="0.35">
      <c r="A133" s="34">
        <v>64909475871</v>
      </c>
      <c r="B133" s="13" t="s">
        <v>1267</v>
      </c>
      <c r="C133" s="13">
        <v>45148159844</v>
      </c>
      <c r="D133" s="13" t="s">
        <v>46</v>
      </c>
      <c r="E133" s="67" t="s">
        <v>54</v>
      </c>
      <c r="F133" s="13" t="s">
        <v>194</v>
      </c>
      <c r="G133" s="13" t="s">
        <v>462</v>
      </c>
      <c r="H133" s="13" t="s">
        <v>3</v>
      </c>
      <c r="I133" s="15">
        <v>0.7</v>
      </c>
      <c r="J133" s="16">
        <v>45069</v>
      </c>
      <c r="K133" s="17">
        <f t="shared" si="2"/>
        <v>45619</v>
      </c>
      <c r="L133" s="13" t="s">
        <v>464</v>
      </c>
      <c r="M133" s="17"/>
      <c r="N133" s="17"/>
      <c r="O133" s="13"/>
      <c r="P133" s="18"/>
      <c r="Q133" s="17"/>
      <c r="R133" s="13"/>
      <c r="S133" s="13" t="s">
        <v>604</v>
      </c>
      <c r="T133" s="13" t="s">
        <v>1004</v>
      </c>
      <c r="U133" s="19">
        <v>1271994</v>
      </c>
      <c r="V133" s="20">
        <v>763196.4</v>
      </c>
      <c r="W133" s="20">
        <v>127199.40000000001</v>
      </c>
      <c r="X133" s="17">
        <v>45357</v>
      </c>
      <c r="Y133" s="13" t="s">
        <v>3</v>
      </c>
      <c r="Z133" s="13" t="s">
        <v>1258</v>
      </c>
      <c r="AA133" s="13" t="s">
        <v>1258</v>
      </c>
      <c r="AB133" s="13" t="s">
        <v>4</v>
      </c>
      <c r="AC133" s="13" t="s">
        <v>3</v>
      </c>
      <c r="AD133" s="13" t="s">
        <v>1258</v>
      </c>
      <c r="AE133" s="19">
        <v>6501648</v>
      </c>
      <c r="AF133" s="36">
        <v>3900988.8</v>
      </c>
    </row>
    <row r="134" spans="1:32" x14ac:dyDescent="0.35">
      <c r="A134" s="34">
        <v>13528927817</v>
      </c>
      <c r="B134" s="13" t="s">
        <v>1267</v>
      </c>
      <c r="C134" s="13">
        <v>73668512920</v>
      </c>
      <c r="D134" s="13" t="s">
        <v>43</v>
      </c>
      <c r="E134" s="67" t="s">
        <v>56</v>
      </c>
      <c r="F134" s="13" t="s">
        <v>195</v>
      </c>
      <c r="G134" s="13" t="s">
        <v>463</v>
      </c>
      <c r="H134" s="13" t="s">
        <v>4</v>
      </c>
      <c r="I134" s="15">
        <v>0.6</v>
      </c>
      <c r="J134" s="16">
        <v>45100</v>
      </c>
      <c r="K134" s="17">
        <f t="shared" si="2"/>
        <v>45649</v>
      </c>
      <c r="L134" s="13" t="s">
        <v>465</v>
      </c>
      <c r="M134" s="17">
        <v>45245</v>
      </c>
      <c r="N134" s="17">
        <v>45227</v>
      </c>
      <c r="O134" s="13" t="s">
        <v>468</v>
      </c>
      <c r="P134" s="18" t="s">
        <v>471</v>
      </c>
      <c r="Q134" s="17">
        <v>45557</v>
      </c>
      <c r="R134" s="13"/>
      <c r="S134" s="13" t="s">
        <v>605</v>
      </c>
      <c r="T134" s="13" t="s">
        <v>1005</v>
      </c>
      <c r="U134" s="19">
        <v>6501648</v>
      </c>
      <c r="V134" s="20">
        <v>3900988.8</v>
      </c>
      <c r="W134" s="20">
        <v>650164.80000000005</v>
      </c>
      <c r="X134" s="17">
        <v>45390</v>
      </c>
      <c r="Y134" s="13" t="s">
        <v>4</v>
      </c>
      <c r="Z134" s="13" t="s">
        <v>1258</v>
      </c>
      <c r="AA134" s="13" t="s">
        <v>1258</v>
      </c>
      <c r="AB134" s="13" t="s">
        <v>4</v>
      </c>
      <c r="AC134" s="13" t="s">
        <v>4</v>
      </c>
      <c r="AD134" s="13" t="s">
        <v>1258</v>
      </c>
      <c r="AE134" s="19">
        <v>9894824</v>
      </c>
      <c r="AF134" s="36">
        <v>5936894.3999999994</v>
      </c>
    </row>
    <row r="135" spans="1:32" x14ac:dyDescent="0.35">
      <c r="A135" s="34">
        <v>34002082575</v>
      </c>
      <c r="B135" s="13" t="s">
        <v>1267</v>
      </c>
      <c r="C135" s="13">
        <v>50052947326</v>
      </c>
      <c r="D135" s="13" t="s">
        <v>42</v>
      </c>
      <c r="E135" s="67" t="s">
        <v>52</v>
      </c>
      <c r="F135" s="13" t="s">
        <v>196</v>
      </c>
      <c r="G135" s="13" t="s">
        <v>463</v>
      </c>
      <c r="H135" s="13" t="s">
        <v>3</v>
      </c>
      <c r="I135" s="15">
        <v>0.6</v>
      </c>
      <c r="J135" s="16">
        <v>45285</v>
      </c>
      <c r="K135" s="17">
        <f t="shared" si="2"/>
        <v>45833</v>
      </c>
      <c r="L135" s="13" t="s">
        <v>464</v>
      </c>
      <c r="M135" s="17"/>
      <c r="N135" s="17"/>
      <c r="O135" s="13"/>
      <c r="P135" s="18"/>
      <c r="Q135" s="17"/>
      <c r="R135" s="13"/>
      <c r="S135" s="13" t="s">
        <v>606</v>
      </c>
      <c r="T135" s="13" t="s">
        <v>1006</v>
      </c>
      <c r="U135" s="19">
        <v>9894824</v>
      </c>
      <c r="V135" s="20">
        <v>5936894.3999999994</v>
      </c>
      <c r="W135" s="20">
        <v>989482.4</v>
      </c>
      <c r="X135" s="17">
        <v>45461</v>
      </c>
      <c r="Y135" s="13" t="s">
        <v>3</v>
      </c>
      <c r="Z135" s="13" t="s">
        <v>1258</v>
      </c>
      <c r="AA135" s="13" t="s">
        <v>1258</v>
      </c>
      <c r="AB135" s="13" t="s">
        <v>4</v>
      </c>
      <c r="AC135" s="13" t="s">
        <v>3</v>
      </c>
      <c r="AD135" s="13" t="s">
        <v>1259</v>
      </c>
      <c r="AE135" s="19">
        <v>7805548</v>
      </c>
      <c r="AF135" s="36">
        <v>4683328.8</v>
      </c>
    </row>
    <row r="136" spans="1:32" x14ac:dyDescent="0.35">
      <c r="A136" s="34">
        <v>14352607001</v>
      </c>
      <c r="B136" s="13" t="s">
        <v>1267</v>
      </c>
      <c r="C136" s="13">
        <v>64819482661</v>
      </c>
      <c r="D136" s="13" t="s">
        <v>50</v>
      </c>
      <c r="E136" s="67" t="s">
        <v>55</v>
      </c>
      <c r="F136" s="13" t="s">
        <v>197</v>
      </c>
      <c r="G136" s="13" t="s">
        <v>462</v>
      </c>
      <c r="H136" s="13" t="s">
        <v>3</v>
      </c>
      <c r="I136" s="15">
        <v>0.6</v>
      </c>
      <c r="J136" s="16">
        <v>45059</v>
      </c>
      <c r="K136" s="17">
        <f t="shared" si="2"/>
        <v>45609</v>
      </c>
      <c r="L136" s="13" t="s">
        <v>465</v>
      </c>
      <c r="M136" s="17">
        <v>45060</v>
      </c>
      <c r="N136" s="17">
        <v>45349</v>
      </c>
      <c r="O136" s="13" t="s">
        <v>470</v>
      </c>
      <c r="P136" s="18" t="s">
        <v>469</v>
      </c>
      <c r="Q136" s="17">
        <v>45631</v>
      </c>
      <c r="R136" s="13"/>
      <c r="S136" s="13" t="s">
        <v>607</v>
      </c>
      <c r="T136" s="13" t="s">
        <v>1007</v>
      </c>
      <c r="U136" s="19">
        <v>7805548</v>
      </c>
      <c r="V136" s="20">
        <v>4683328.8</v>
      </c>
      <c r="W136" s="20">
        <v>780554.8</v>
      </c>
      <c r="X136" s="17">
        <v>45390</v>
      </c>
      <c r="Y136" s="13" t="s">
        <v>3</v>
      </c>
      <c r="Z136" s="13" t="s">
        <v>2</v>
      </c>
      <c r="AA136" s="13" t="s">
        <v>1258</v>
      </c>
      <c r="AB136" s="13" t="s">
        <v>4</v>
      </c>
      <c r="AC136" s="13" t="s">
        <v>3</v>
      </c>
      <c r="AD136" s="13" t="s">
        <v>1258</v>
      </c>
      <c r="AE136" s="19">
        <v>3750917</v>
      </c>
      <c r="AF136" s="36">
        <v>2250550.1999999997</v>
      </c>
    </row>
    <row r="137" spans="1:32" x14ac:dyDescent="0.35">
      <c r="A137" s="34">
        <v>59131728318</v>
      </c>
      <c r="B137" s="13" t="s">
        <v>1267</v>
      </c>
      <c r="C137" s="13">
        <v>37524853233</v>
      </c>
      <c r="D137" s="13" t="s">
        <v>46</v>
      </c>
      <c r="E137" s="67" t="s">
        <v>52</v>
      </c>
      <c r="F137" s="13" t="s">
        <v>198</v>
      </c>
      <c r="G137" s="13" t="s">
        <v>463</v>
      </c>
      <c r="H137" s="13" t="s">
        <v>3</v>
      </c>
      <c r="I137" s="15">
        <v>0.6</v>
      </c>
      <c r="J137" s="16">
        <v>45048</v>
      </c>
      <c r="K137" s="17">
        <f t="shared" si="2"/>
        <v>45598</v>
      </c>
      <c r="L137" s="13" t="s">
        <v>465</v>
      </c>
      <c r="M137" s="17">
        <v>45172</v>
      </c>
      <c r="N137" s="17">
        <v>45191</v>
      </c>
      <c r="O137" s="13" t="s">
        <v>470</v>
      </c>
      <c r="P137" s="18" t="s">
        <v>471</v>
      </c>
      <c r="Q137" s="17">
        <v>45421</v>
      </c>
      <c r="R137" s="13"/>
      <c r="S137" s="13" t="s">
        <v>608</v>
      </c>
      <c r="T137" s="13" t="s">
        <v>1008</v>
      </c>
      <c r="U137" s="19">
        <v>3750917</v>
      </c>
      <c r="V137" s="20">
        <v>2250550.1999999997</v>
      </c>
      <c r="W137" s="20">
        <v>375091.7</v>
      </c>
      <c r="X137" s="17">
        <v>45461</v>
      </c>
      <c r="Y137" s="13" t="s">
        <v>3</v>
      </c>
      <c r="Z137" s="13" t="s">
        <v>1258</v>
      </c>
      <c r="AA137" s="13" t="s">
        <v>1258</v>
      </c>
      <c r="AB137" s="13" t="s">
        <v>4</v>
      </c>
      <c r="AC137" s="13" t="s">
        <v>3</v>
      </c>
      <c r="AD137" s="13" t="s">
        <v>1258</v>
      </c>
      <c r="AE137" s="19">
        <v>5803178</v>
      </c>
      <c r="AF137" s="36">
        <v>3481906.8</v>
      </c>
    </row>
    <row r="138" spans="1:32" x14ac:dyDescent="0.35">
      <c r="A138" s="34">
        <v>32885395899</v>
      </c>
      <c r="B138" s="13" t="s">
        <v>1267</v>
      </c>
      <c r="C138" s="13">
        <v>66252971112</v>
      </c>
      <c r="D138" s="13" t="s">
        <v>44</v>
      </c>
      <c r="E138" s="67" t="s">
        <v>59</v>
      </c>
      <c r="F138" s="13" t="s">
        <v>199</v>
      </c>
      <c r="G138" s="13" t="s">
        <v>463</v>
      </c>
      <c r="H138" s="13" t="s">
        <v>4</v>
      </c>
      <c r="I138" s="15">
        <v>0.7</v>
      </c>
      <c r="J138" s="16">
        <v>44994</v>
      </c>
      <c r="K138" s="17">
        <f t="shared" si="2"/>
        <v>45544</v>
      </c>
      <c r="L138" s="13" t="s">
        <v>465</v>
      </c>
      <c r="M138" s="17">
        <v>45052</v>
      </c>
      <c r="N138" s="17">
        <v>45299</v>
      </c>
      <c r="O138" s="13" t="s">
        <v>468</v>
      </c>
      <c r="P138" s="18" t="s">
        <v>471</v>
      </c>
      <c r="Q138" s="17">
        <v>45469</v>
      </c>
      <c r="R138" s="13"/>
      <c r="S138" s="13" t="s">
        <v>609</v>
      </c>
      <c r="T138" s="13" t="s">
        <v>1009</v>
      </c>
      <c r="U138" s="19">
        <v>5803178</v>
      </c>
      <c r="V138" s="20">
        <v>3481906.8</v>
      </c>
      <c r="W138" s="20">
        <v>580317.80000000005</v>
      </c>
      <c r="X138" s="17">
        <v>45366</v>
      </c>
      <c r="Y138" s="13" t="s">
        <v>4</v>
      </c>
      <c r="Z138" s="13" t="s">
        <v>2</v>
      </c>
      <c r="AA138" s="13" t="s">
        <v>1258</v>
      </c>
      <c r="AB138" s="13" t="s">
        <v>4</v>
      </c>
      <c r="AC138" s="13" t="s">
        <v>4</v>
      </c>
      <c r="AD138" s="13" t="s">
        <v>1259</v>
      </c>
      <c r="AE138" s="19">
        <v>1065757</v>
      </c>
      <c r="AF138" s="36">
        <v>639454.19999999995</v>
      </c>
    </row>
    <row r="139" spans="1:32" x14ac:dyDescent="0.35">
      <c r="A139" s="34">
        <v>73997109486</v>
      </c>
      <c r="B139" s="13" t="s">
        <v>1267</v>
      </c>
      <c r="C139" s="13">
        <v>29479918508</v>
      </c>
      <c r="D139" s="13" t="s">
        <v>48</v>
      </c>
      <c r="E139" s="67" t="s">
        <v>52</v>
      </c>
      <c r="F139" s="13" t="s">
        <v>200</v>
      </c>
      <c r="G139" s="13" t="s">
        <v>463</v>
      </c>
      <c r="H139" s="13" t="s">
        <v>3</v>
      </c>
      <c r="I139" s="15">
        <v>0.7</v>
      </c>
      <c r="J139" s="16">
        <v>45018</v>
      </c>
      <c r="K139" s="17">
        <f t="shared" si="2"/>
        <v>45567</v>
      </c>
      <c r="L139" s="13" t="s">
        <v>464</v>
      </c>
      <c r="M139" s="17"/>
      <c r="N139" s="17"/>
      <c r="O139" s="13"/>
      <c r="P139" s="18"/>
      <c r="Q139" s="17"/>
      <c r="R139" s="13"/>
      <c r="S139" s="13" t="s">
        <v>610</v>
      </c>
      <c r="T139" s="13" t="s">
        <v>1010</v>
      </c>
      <c r="U139" s="19">
        <v>1065757</v>
      </c>
      <c r="V139" s="20">
        <v>639454.19999999995</v>
      </c>
      <c r="W139" s="20">
        <v>106575.70000000001</v>
      </c>
      <c r="X139" s="17">
        <v>45500</v>
      </c>
      <c r="Y139" s="13" t="s">
        <v>3</v>
      </c>
      <c r="Z139" s="13" t="s">
        <v>2</v>
      </c>
      <c r="AA139" s="13" t="s">
        <v>1258</v>
      </c>
      <c r="AB139" s="13" t="s">
        <v>4</v>
      </c>
      <c r="AC139" s="13" t="s">
        <v>3</v>
      </c>
      <c r="AD139" s="13" t="s">
        <v>1258</v>
      </c>
      <c r="AE139" s="19">
        <v>1963154</v>
      </c>
      <c r="AF139" s="36">
        <v>1177892.3999999999</v>
      </c>
    </row>
    <row r="140" spans="1:32" x14ac:dyDescent="0.35">
      <c r="A140" s="34">
        <v>96971532806</v>
      </c>
      <c r="B140" s="13" t="s">
        <v>1267</v>
      </c>
      <c r="C140" s="13">
        <v>95348325936</v>
      </c>
      <c r="D140" s="13" t="s">
        <v>46</v>
      </c>
      <c r="E140" s="67" t="s">
        <v>54</v>
      </c>
      <c r="F140" s="13" t="s">
        <v>201</v>
      </c>
      <c r="G140" s="13" t="s">
        <v>463</v>
      </c>
      <c r="H140" s="13" t="s">
        <v>3</v>
      </c>
      <c r="I140" s="15">
        <v>0.6</v>
      </c>
      <c r="J140" s="16">
        <v>45280</v>
      </c>
      <c r="K140" s="17">
        <f t="shared" si="2"/>
        <v>45828</v>
      </c>
      <c r="L140" s="13" t="s">
        <v>465</v>
      </c>
      <c r="M140" s="17">
        <v>45075</v>
      </c>
      <c r="N140" s="17">
        <v>45342</v>
      </c>
      <c r="O140" s="13" t="s">
        <v>470</v>
      </c>
      <c r="P140" s="18" t="s">
        <v>469</v>
      </c>
      <c r="Q140" s="17">
        <v>45496</v>
      </c>
      <c r="R140" s="13"/>
      <c r="S140" s="13" t="s">
        <v>611</v>
      </c>
      <c r="T140" s="13" t="s">
        <v>1011</v>
      </c>
      <c r="U140" s="19">
        <v>1963154</v>
      </c>
      <c r="V140" s="20">
        <v>1177892.3999999999</v>
      </c>
      <c r="W140" s="20">
        <v>196315.40000000002</v>
      </c>
      <c r="X140" s="17">
        <v>45438</v>
      </c>
      <c r="Y140" s="13" t="s">
        <v>3</v>
      </c>
      <c r="Z140" s="13" t="s">
        <v>1258</v>
      </c>
      <c r="AA140" s="13" t="s">
        <v>1258</v>
      </c>
      <c r="AB140" s="13" t="s">
        <v>4</v>
      </c>
      <c r="AC140" s="13" t="s">
        <v>3</v>
      </c>
      <c r="AD140" s="13" t="s">
        <v>1259</v>
      </c>
      <c r="AE140" s="19">
        <v>6130711</v>
      </c>
      <c r="AF140" s="36">
        <v>3678426.6</v>
      </c>
    </row>
    <row r="141" spans="1:32" x14ac:dyDescent="0.35">
      <c r="A141" s="34">
        <v>46866548742</v>
      </c>
      <c r="B141" s="13" t="s">
        <v>1267</v>
      </c>
      <c r="C141" s="13">
        <v>84628771940</v>
      </c>
      <c r="D141" s="13" t="s">
        <v>48</v>
      </c>
      <c r="E141" s="67" t="s">
        <v>60</v>
      </c>
      <c r="F141" s="13" t="s">
        <v>202</v>
      </c>
      <c r="G141" s="13" t="s">
        <v>462</v>
      </c>
      <c r="H141" s="13" t="s">
        <v>4</v>
      </c>
      <c r="I141" s="15">
        <v>0.6</v>
      </c>
      <c r="J141" s="16">
        <v>45213</v>
      </c>
      <c r="K141" s="17">
        <f t="shared" si="2"/>
        <v>45761</v>
      </c>
      <c r="L141" s="13" t="s">
        <v>464</v>
      </c>
      <c r="M141" s="17"/>
      <c r="N141" s="17"/>
      <c r="O141" s="13"/>
      <c r="P141" s="18"/>
      <c r="Q141" s="17"/>
      <c r="R141" s="13"/>
      <c r="S141" s="13" t="s">
        <v>612</v>
      </c>
      <c r="T141" s="13" t="s">
        <v>1012</v>
      </c>
      <c r="U141" s="19">
        <v>6130711</v>
      </c>
      <c r="V141" s="20">
        <v>3678426.6</v>
      </c>
      <c r="W141" s="20">
        <v>613071.1</v>
      </c>
      <c r="X141" s="17">
        <v>45475</v>
      </c>
      <c r="Y141" s="13" t="s">
        <v>4</v>
      </c>
      <c r="Z141" s="13" t="s">
        <v>2</v>
      </c>
      <c r="AA141" s="13" t="s">
        <v>1258</v>
      </c>
      <c r="AB141" s="13" t="s">
        <v>4</v>
      </c>
      <c r="AC141" s="13" t="s">
        <v>4</v>
      </c>
      <c r="AD141" s="13" t="s">
        <v>1258</v>
      </c>
      <c r="AE141" s="19">
        <v>1857752</v>
      </c>
      <c r="AF141" s="36">
        <v>1114651.2</v>
      </c>
    </row>
    <row r="142" spans="1:32" x14ac:dyDescent="0.35">
      <c r="A142" s="34">
        <v>10301984091</v>
      </c>
      <c r="B142" s="13" t="s">
        <v>1267</v>
      </c>
      <c r="C142" s="13">
        <v>64675016219</v>
      </c>
      <c r="D142" s="13" t="s">
        <v>50</v>
      </c>
      <c r="E142" s="67" t="s">
        <v>53</v>
      </c>
      <c r="F142" s="13" t="s">
        <v>203</v>
      </c>
      <c r="G142" s="13" t="s">
        <v>463</v>
      </c>
      <c r="H142" s="13" t="s">
        <v>4</v>
      </c>
      <c r="I142" s="15">
        <v>0.6</v>
      </c>
      <c r="J142" s="16">
        <v>45055</v>
      </c>
      <c r="K142" s="17">
        <f t="shared" si="2"/>
        <v>45605</v>
      </c>
      <c r="L142" s="13" t="s">
        <v>464</v>
      </c>
      <c r="M142" s="17"/>
      <c r="N142" s="17"/>
      <c r="O142" s="13"/>
      <c r="P142" s="18"/>
      <c r="Q142" s="17"/>
      <c r="R142" s="13"/>
      <c r="S142" s="13" t="s">
        <v>613</v>
      </c>
      <c r="T142" s="13" t="s">
        <v>1013</v>
      </c>
      <c r="U142" s="19">
        <v>1857752</v>
      </c>
      <c r="V142" s="20">
        <v>1114651.2</v>
      </c>
      <c r="W142" s="20">
        <v>185775.2</v>
      </c>
      <c r="X142" s="17">
        <v>45492</v>
      </c>
      <c r="Y142" s="13" t="s">
        <v>4</v>
      </c>
      <c r="Z142" s="13" t="s">
        <v>1258</v>
      </c>
      <c r="AA142" s="13" t="s">
        <v>1258</v>
      </c>
      <c r="AB142" s="13" t="s">
        <v>4</v>
      </c>
      <c r="AC142" s="13" t="s">
        <v>4</v>
      </c>
      <c r="AD142" s="13" t="s">
        <v>1259</v>
      </c>
      <c r="AE142" s="19">
        <v>1774849</v>
      </c>
      <c r="AF142" s="36">
        <v>1064909.3999999999</v>
      </c>
    </row>
    <row r="143" spans="1:32" x14ac:dyDescent="0.35">
      <c r="A143" s="34">
        <v>81243066023</v>
      </c>
      <c r="B143" s="13" t="s">
        <v>1267</v>
      </c>
      <c r="C143" s="13">
        <v>49526075851</v>
      </c>
      <c r="D143" s="13" t="s">
        <v>44</v>
      </c>
      <c r="E143" s="67" t="s">
        <v>53</v>
      </c>
      <c r="F143" s="13" t="s">
        <v>204</v>
      </c>
      <c r="G143" s="13" t="s">
        <v>462</v>
      </c>
      <c r="H143" s="13" t="s">
        <v>3</v>
      </c>
      <c r="I143" s="15">
        <v>0.7</v>
      </c>
      <c r="J143" s="16">
        <v>45158</v>
      </c>
      <c r="K143" s="17">
        <f t="shared" si="2"/>
        <v>45708</v>
      </c>
      <c r="L143" s="13" t="s">
        <v>464</v>
      </c>
      <c r="M143" s="17"/>
      <c r="N143" s="17"/>
      <c r="O143" s="13"/>
      <c r="P143" s="18"/>
      <c r="Q143" s="17"/>
      <c r="R143" s="13"/>
      <c r="S143" s="13" t="s">
        <v>473</v>
      </c>
      <c r="T143" s="13" t="s">
        <v>1014</v>
      </c>
      <c r="U143" s="19">
        <v>1774849</v>
      </c>
      <c r="V143" s="20">
        <v>1064909.3999999999</v>
      </c>
      <c r="W143" s="20">
        <v>177484.90000000002</v>
      </c>
      <c r="X143" s="17">
        <v>45303</v>
      </c>
      <c r="Y143" s="13" t="s">
        <v>3</v>
      </c>
      <c r="Z143" s="13" t="s">
        <v>2</v>
      </c>
      <c r="AA143" s="13" t="s">
        <v>1258</v>
      </c>
      <c r="AB143" s="13" t="s">
        <v>4</v>
      </c>
      <c r="AC143" s="13" t="s">
        <v>3</v>
      </c>
      <c r="AD143" s="13" t="s">
        <v>1258</v>
      </c>
      <c r="AE143" s="19">
        <v>3823090</v>
      </c>
      <c r="AF143" s="36">
        <v>2293854</v>
      </c>
    </row>
    <row r="144" spans="1:32" x14ac:dyDescent="0.35">
      <c r="A144" s="34">
        <v>16862789072</v>
      </c>
      <c r="B144" s="13" t="s">
        <v>1267</v>
      </c>
      <c r="C144" s="13">
        <v>96740325436</v>
      </c>
      <c r="D144" s="13" t="s">
        <v>47</v>
      </c>
      <c r="E144" s="67" t="s">
        <v>59</v>
      </c>
      <c r="F144" s="13" t="s">
        <v>205</v>
      </c>
      <c r="G144" s="13" t="s">
        <v>463</v>
      </c>
      <c r="H144" s="13" t="s">
        <v>3</v>
      </c>
      <c r="I144" s="15">
        <v>0.6</v>
      </c>
      <c r="J144" s="16">
        <v>45221</v>
      </c>
      <c r="K144" s="17">
        <f t="shared" si="2"/>
        <v>45769</v>
      </c>
      <c r="L144" s="13" t="s">
        <v>465</v>
      </c>
      <c r="M144" s="17">
        <v>45002</v>
      </c>
      <c r="N144" s="17">
        <v>45319</v>
      </c>
      <c r="O144" s="13" t="s">
        <v>468</v>
      </c>
      <c r="P144" s="18" t="s">
        <v>469</v>
      </c>
      <c r="Q144" s="17">
        <v>45639</v>
      </c>
      <c r="R144" s="13"/>
      <c r="S144" s="13" t="s">
        <v>614</v>
      </c>
      <c r="T144" s="13" t="s">
        <v>1015</v>
      </c>
      <c r="U144" s="19">
        <v>3823090</v>
      </c>
      <c r="V144" s="20">
        <v>2293854</v>
      </c>
      <c r="W144" s="20">
        <v>382309</v>
      </c>
      <c r="X144" s="17">
        <v>45357</v>
      </c>
      <c r="Y144" s="13" t="s">
        <v>3</v>
      </c>
      <c r="Z144" s="13" t="s">
        <v>2</v>
      </c>
      <c r="AA144" s="13" t="s">
        <v>1258</v>
      </c>
      <c r="AB144" s="13" t="s">
        <v>4</v>
      </c>
      <c r="AC144" s="13" t="s">
        <v>3</v>
      </c>
      <c r="AD144" s="13" t="s">
        <v>1258</v>
      </c>
      <c r="AE144" s="19">
        <v>2730425</v>
      </c>
      <c r="AF144" s="36">
        <v>1638255</v>
      </c>
    </row>
    <row r="145" spans="1:32" x14ac:dyDescent="0.35">
      <c r="A145" s="34">
        <v>30295604958</v>
      </c>
      <c r="B145" s="13" t="s">
        <v>1267</v>
      </c>
      <c r="C145" s="13">
        <v>42044023696</v>
      </c>
      <c r="D145" s="13" t="s">
        <v>42</v>
      </c>
      <c r="E145" s="67" t="s">
        <v>56</v>
      </c>
      <c r="F145" s="13" t="s">
        <v>206</v>
      </c>
      <c r="G145" s="13" t="s">
        <v>463</v>
      </c>
      <c r="H145" s="13" t="s">
        <v>3</v>
      </c>
      <c r="I145" s="15">
        <v>0.6</v>
      </c>
      <c r="J145" s="16">
        <v>45169</v>
      </c>
      <c r="K145" s="17">
        <f t="shared" si="2"/>
        <v>45716</v>
      </c>
      <c r="L145" s="13" t="s">
        <v>465</v>
      </c>
      <c r="M145" s="17">
        <v>45131</v>
      </c>
      <c r="N145" s="17">
        <v>45524</v>
      </c>
      <c r="O145" s="13" t="s">
        <v>470</v>
      </c>
      <c r="P145" s="18" t="s">
        <v>469</v>
      </c>
      <c r="Q145" s="17">
        <v>45411</v>
      </c>
      <c r="R145" s="13"/>
      <c r="S145" s="13" t="s">
        <v>62</v>
      </c>
      <c r="T145" s="13" t="s">
        <v>1016</v>
      </c>
      <c r="U145" s="19">
        <v>2730425</v>
      </c>
      <c r="V145" s="20">
        <v>1638255</v>
      </c>
      <c r="W145" s="20">
        <v>273042.5</v>
      </c>
      <c r="X145" s="17">
        <v>45618</v>
      </c>
      <c r="Y145" s="13" t="s">
        <v>3</v>
      </c>
      <c r="Z145" s="13" t="s">
        <v>2</v>
      </c>
      <c r="AA145" s="13" t="s">
        <v>1258</v>
      </c>
      <c r="AB145" s="13" t="s">
        <v>4</v>
      </c>
      <c r="AC145" s="13" t="s">
        <v>3</v>
      </c>
      <c r="AD145" s="13" t="s">
        <v>1259</v>
      </c>
      <c r="AE145" s="19">
        <v>7334304</v>
      </c>
      <c r="AF145" s="36">
        <v>4400582.3999999994</v>
      </c>
    </row>
    <row r="146" spans="1:32" x14ac:dyDescent="0.35">
      <c r="A146" s="34">
        <v>89388480067</v>
      </c>
      <c r="B146" s="13" t="s">
        <v>1267</v>
      </c>
      <c r="C146" s="13">
        <v>43488950690</v>
      </c>
      <c r="D146" s="13" t="s">
        <v>41</v>
      </c>
      <c r="E146" s="67" t="s">
        <v>55</v>
      </c>
      <c r="F146" s="13" t="s">
        <v>207</v>
      </c>
      <c r="G146" s="13" t="s">
        <v>463</v>
      </c>
      <c r="H146" s="13" t="s">
        <v>4</v>
      </c>
      <c r="I146" s="15">
        <v>0.6</v>
      </c>
      <c r="J146" s="16">
        <v>45272</v>
      </c>
      <c r="K146" s="17">
        <f t="shared" si="2"/>
        <v>45820</v>
      </c>
      <c r="L146" s="13" t="s">
        <v>465</v>
      </c>
      <c r="M146" s="17">
        <v>45225</v>
      </c>
      <c r="N146" s="17">
        <v>45380</v>
      </c>
      <c r="O146" s="13" t="s">
        <v>468</v>
      </c>
      <c r="P146" s="18" t="s">
        <v>471</v>
      </c>
      <c r="Q146" s="17">
        <v>45521</v>
      </c>
      <c r="R146" s="13"/>
      <c r="S146" s="13" t="s">
        <v>615</v>
      </c>
      <c r="T146" s="13" t="s">
        <v>1017</v>
      </c>
      <c r="U146" s="19">
        <v>7334304</v>
      </c>
      <c r="V146" s="20">
        <v>4400582.3999999994</v>
      </c>
      <c r="W146" s="20">
        <v>733430.4</v>
      </c>
      <c r="X146" s="17">
        <v>45619</v>
      </c>
      <c r="Y146" s="13" t="s">
        <v>4</v>
      </c>
      <c r="Z146" s="13" t="s">
        <v>1258</v>
      </c>
      <c r="AA146" s="13" t="s">
        <v>1258</v>
      </c>
      <c r="AB146" s="13" t="s">
        <v>4</v>
      </c>
      <c r="AC146" s="13" t="s">
        <v>4</v>
      </c>
      <c r="AD146" s="13" t="s">
        <v>1258</v>
      </c>
      <c r="AE146" s="19">
        <v>1604099</v>
      </c>
      <c r="AF146" s="36">
        <v>962459.39999999991</v>
      </c>
    </row>
    <row r="147" spans="1:32" x14ac:dyDescent="0.35">
      <c r="A147" s="34">
        <v>18955626568</v>
      </c>
      <c r="B147" s="13" t="s">
        <v>1267</v>
      </c>
      <c r="C147" s="13">
        <v>50870500171</v>
      </c>
      <c r="D147" s="13" t="s">
        <v>50</v>
      </c>
      <c r="E147" s="67" t="s">
        <v>58</v>
      </c>
      <c r="F147" s="13" t="s">
        <v>208</v>
      </c>
      <c r="G147" s="13" t="s">
        <v>462</v>
      </c>
      <c r="H147" s="13" t="s">
        <v>4</v>
      </c>
      <c r="I147" s="15">
        <v>0.6</v>
      </c>
      <c r="J147" s="16">
        <v>44933</v>
      </c>
      <c r="K147" s="17">
        <f t="shared" si="2"/>
        <v>45480</v>
      </c>
      <c r="L147" s="13" t="s">
        <v>464</v>
      </c>
      <c r="M147" s="17"/>
      <c r="N147" s="17"/>
      <c r="O147" s="13"/>
      <c r="P147" s="18"/>
      <c r="Q147" s="17"/>
      <c r="R147" s="13"/>
      <c r="S147" s="13" t="s">
        <v>616</v>
      </c>
      <c r="T147" s="13" t="s">
        <v>1018</v>
      </c>
      <c r="U147" s="19">
        <v>1604099</v>
      </c>
      <c r="V147" s="20">
        <v>962459.39999999991</v>
      </c>
      <c r="W147" s="20">
        <v>160409.90000000002</v>
      </c>
      <c r="X147" s="17">
        <v>45488</v>
      </c>
      <c r="Y147" s="13" t="s">
        <v>4</v>
      </c>
      <c r="Z147" s="13" t="s">
        <v>1258</v>
      </c>
      <c r="AA147" s="13" t="s">
        <v>1258</v>
      </c>
      <c r="AB147" s="13" t="s">
        <v>4</v>
      </c>
      <c r="AC147" s="13" t="s">
        <v>4</v>
      </c>
      <c r="AD147" s="13" t="s">
        <v>1259</v>
      </c>
      <c r="AE147" s="19">
        <v>8407565</v>
      </c>
      <c r="AF147" s="36">
        <v>5044539</v>
      </c>
    </row>
    <row r="148" spans="1:32" x14ac:dyDescent="0.35">
      <c r="A148" s="34">
        <v>73525202986</v>
      </c>
      <c r="B148" s="13" t="s">
        <v>1267</v>
      </c>
      <c r="C148" s="13">
        <v>51442257767</v>
      </c>
      <c r="D148" s="13" t="s">
        <v>42</v>
      </c>
      <c r="E148" s="67" t="s">
        <v>51</v>
      </c>
      <c r="F148" s="13" t="s">
        <v>209</v>
      </c>
      <c r="G148" s="13" t="s">
        <v>463</v>
      </c>
      <c r="H148" s="13" t="s">
        <v>4</v>
      </c>
      <c r="I148" s="15">
        <v>0.6</v>
      </c>
      <c r="J148" s="16">
        <v>45014</v>
      </c>
      <c r="K148" s="17">
        <f t="shared" si="2"/>
        <v>45564</v>
      </c>
      <c r="L148" s="13" t="s">
        <v>465</v>
      </c>
      <c r="M148" s="17">
        <v>45231</v>
      </c>
      <c r="N148" s="17">
        <v>45171</v>
      </c>
      <c r="O148" s="13" t="s">
        <v>468</v>
      </c>
      <c r="P148" s="18" t="s">
        <v>471</v>
      </c>
      <c r="Q148" s="17">
        <v>45327</v>
      </c>
      <c r="R148" s="13"/>
      <c r="S148" s="13" t="s">
        <v>617</v>
      </c>
      <c r="T148" s="13" t="s">
        <v>1019</v>
      </c>
      <c r="U148" s="19">
        <v>8407565</v>
      </c>
      <c r="V148" s="20">
        <v>5044539</v>
      </c>
      <c r="W148" s="20">
        <v>840756.5</v>
      </c>
      <c r="X148" s="17">
        <v>45580</v>
      </c>
      <c r="Y148" s="13" t="s">
        <v>4</v>
      </c>
      <c r="Z148" s="13" t="s">
        <v>1258</v>
      </c>
      <c r="AA148" s="13" t="s">
        <v>1258</v>
      </c>
      <c r="AB148" s="13" t="s">
        <v>4</v>
      </c>
      <c r="AC148" s="13" t="s">
        <v>4</v>
      </c>
      <c r="AD148" s="13" t="s">
        <v>1258</v>
      </c>
      <c r="AE148" s="19">
        <v>2050748</v>
      </c>
      <c r="AF148" s="36">
        <v>1230448.8</v>
      </c>
    </row>
    <row r="149" spans="1:32" x14ac:dyDescent="0.35">
      <c r="A149" s="34">
        <v>68072404865</v>
      </c>
      <c r="B149" s="13" t="s">
        <v>1267</v>
      </c>
      <c r="C149" s="13">
        <v>19746652308</v>
      </c>
      <c r="D149" s="13" t="s">
        <v>49</v>
      </c>
      <c r="E149" s="67" t="s">
        <v>58</v>
      </c>
      <c r="F149" s="13" t="s">
        <v>210</v>
      </c>
      <c r="G149" s="13" t="s">
        <v>462</v>
      </c>
      <c r="H149" s="13" t="s">
        <v>3</v>
      </c>
      <c r="I149" s="15">
        <v>0.6</v>
      </c>
      <c r="J149" s="16">
        <v>45122</v>
      </c>
      <c r="K149" s="17">
        <f t="shared" si="2"/>
        <v>45672</v>
      </c>
      <c r="L149" s="13" t="s">
        <v>464</v>
      </c>
      <c r="M149" s="17"/>
      <c r="N149" s="17"/>
      <c r="O149" s="13"/>
      <c r="P149" s="18"/>
      <c r="Q149" s="17"/>
      <c r="R149" s="13"/>
      <c r="S149" s="13" t="s">
        <v>618</v>
      </c>
      <c r="T149" s="13" t="s">
        <v>1020</v>
      </c>
      <c r="U149" s="19">
        <v>2050748</v>
      </c>
      <c r="V149" s="20">
        <v>1230448.8</v>
      </c>
      <c r="W149" s="20">
        <v>205074.80000000002</v>
      </c>
      <c r="X149" s="17">
        <v>45633</v>
      </c>
      <c r="Y149" s="13" t="s">
        <v>3</v>
      </c>
      <c r="Z149" s="13" t="s">
        <v>1258</v>
      </c>
      <c r="AA149" s="13" t="s">
        <v>1258</v>
      </c>
      <c r="AB149" s="13" t="s">
        <v>4</v>
      </c>
      <c r="AC149" s="13" t="s">
        <v>3</v>
      </c>
      <c r="AD149" s="13" t="s">
        <v>1258</v>
      </c>
      <c r="AE149" s="19">
        <v>6582331</v>
      </c>
      <c r="AF149" s="36">
        <v>3949398.5999999996</v>
      </c>
    </row>
    <row r="150" spans="1:32" x14ac:dyDescent="0.35">
      <c r="A150" s="34">
        <v>92504598730</v>
      </c>
      <c r="B150" s="13" t="s">
        <v>1267</v>
      </c>
      <c r="C150" s="13">
        <v>74849548971</v>
      </c>
      <c r="D150" s="13" t="s">
        <v>41</v>
      </c>
      <c r="E150" s="67" t="s">
        <v>58</v>
      </c>
      <c r="F150" s="13" t="s">
        <v>211</v>
      </c>
      <c r="G150" s="13" t="s">
        <v>463</v>
      </c>
      <c r="H150" s="13" t="s">
        <v>3</v>
      </c>
      <c r="I150" s="15">
        <v>0.6</v>
      </c>
      <c r="J150" s="16">
        <v>44966</v>
      </c>
      <c r="K150" s="17">
        <f t="shared" si="2"/>
        <v>45513</v>
      </c>
      <c r="L150" s="13" t="s">
        <v>465</v>
      </c>
      <c r="M150" s="17">
        <v>45127</v>
      </c>
      <c r="N150" s="17">
        <v>45132</v>
      </c>
      <c r="O150" s="13" t="s">
        <v>468</v>
      </c>
      <c r="P150" s="18" t="s">
        <v>469</v>
      </c>
      <c r="Q150" s="17">
        <v>45570</v>
      </c>
      <c r="R150" s="13"/>
      <c r="S150" s="13" t="s">
        <v>619</v>
      </c>
      <c r="T150" s="13" t="s">
        <v>1021</v>
      </c>
      <c r="U150" s="19">
        <v>6582331</v>
      </c>
      <c r="V150" s="20">
        <v>3949398.5999999996</v>
      </c>
      <c r="W150" s="20">
        <v>658233.10000000009</v>
      </c>
      <c r="X150" s="17">
        <v>45591</v>
      </c>
      <c r="Y150" s="13" t="s">
        <v>3</v>
      </c>
      <c r="Z150" s="13" t="s">
        <v>2</v>
      </c>
      <c r="AA150" s="13" t="s">
        <v>1258</v>
      </c>
      <c r="AB150" s="13" t="s">
        <v>4</v>
      </c>
      <c r="AC150" s="13" t="s">
        <v>3</v>
      </c>
      <c r="AD150" s="13" t="s">
        <v>1259</v>
      </c>
      <c r="AE150" s="19">
        <v>5048787</v>
      </c>
      <c r="AF150" s="36">
        <v>3029272.1999999997</v>
      </c>
    </row>
    <row r="151" spans="1:32" x14ac:dyDescent="0.35">
      <c r="A151" s="34">
        <v>19386154402</v>
      </c>
      <c r="B151" s="13" t="s">
        <v>1267</v>
      </c>
      <c r="C151" s="13">
        <v>13318109360</v>
      </c>
      <c r="D151" s="13" t="s">
        <v>43</v>
      </c>
      <c r="E151" s="67" t="s">
        <v>58</v>
      </c>
      <c r="F151" s="13" t="s">
        <v>212</v>
      </c>
      <c r="G151" s="13" t="s">
        <v>462</v>
      </c>
      <c r="H151" s="13" t="s">
        <v>4</v>
      </c>
      <c r="I151" s="15">
        <v>0.6</v>
      </c>
      <c r="J151" s="16">
        <v>44961</v>
      </c>
      <c r="K151" s="17">
        <f t="shared" si="2"/>
        <v>45508</v>
      </c>
      <c r="L151" s="13" t="s">
        <v>464</v>
      </c>
      <c r="M151" s="17"/>
      <c r="N151" s="17"/>
      <c r="O151" s="13"/>
      <c r="P151" s="18"/>
      <c r="Q151" s="17"/>
      <c r="R151" s="13"/>
      <c r="S151" s="13" t="s">
        <v>620</v>
      </c>
      <c r="T151" s="13" t="s">
        <v>1022</v>
      </c>
      <c r="U151" s="19">
        <v>5048787</v>
      </c>
      <c r="V151" s="20">
        <v>3029272.1999999997</v>
      </c>
      <c r="W151" s="20">
        <v>504878.7</v>
      </c>
      <c r="X151" s="17">
        <v>45444</v>
      </c>
      <c r="Y151" s="13" t="s">
        <v>4</v>
      </c>
      <c r="Z151" s="13" t="s">
        <v>1258</v>
      </c>
      <c r="AA151" s="13" t="s">
        <v>1258</v>
      </c>
      <c r="AB151" s="13" t="s">
        <v>4</v>
      </c>
      <c r="AC151" s="13" t="s">
        <v>4</v>
      </c>
      <c r="AD151" s="13" t="s">
        <v>1258</v>
      </c>
      <c r="AE151" s="19">
        <v>1701777</v>
      </c>
      <c r="AF151" s="36">
        <v>1021066.2</v>
      </c>
    </row>
    <row r="152" spans="1:32" x14ac:dyDescent="0.35">
      <c r="A152" s="34">
        <v>53310930826</v>
      </c>
      <c r="B152" s="13" t="s">
        <v>1267</v>
      </c>
      <c r="C152" s="13">
        <v>81738197176</v>
      </c>
      <c r="D152" s="13" t="s">
        <v>44</v>
      </c>
      <c r="E152" s="67" t="s">
        <v>56</v>
      </c>
      <c r="F152" s="13" t="s">
        <v>213</v>
      </c>
      <c r="G152" s="13" t="s">
        <v>462</v>
      </c>
      <c r="H152" s="13" t="s">
        <v>4</v>
      </c>
      <c r="I152" s="15">
        <v>0.6</v>
      </c>
      <c r="J152" s="16">
        <v>45282</v>
      </c>
      <c r="K152" s="17">
        <f t="shared" si="2"/>
        <v>45830</v>
      </c>
      <c r="L152" s="13" t="s">
        <v>465</v>
      </c>
      <c r="M152" s="17">
        <v>44929</v>
      </c>
      <c r="N152" s="17">
        <v>45635</v>
      </c>
      <c r="O152" s="13" t="s">
        <v>470</v>
      </c>
      <c r="P152" s="18" t="s">
        <v>471</v>
      </c>
      <c r="Q152" s="17">
        <v>45399</v>
      </c>
      <c r="R152" s="13"/>
      <c r="S152" s="13" t="s">
        <v>621</v>
      </c>
      <c r="T152" s="13" t="s">
        <v>1023</v>
      </c>
      <c r="U152" s="19">
        <v>1701777</v>
      </c>
      <c r="V152" s="20">
        <v>1021066.2</v>
      </c>
      <c r="W152" s="20">
        <v>170177.7</v>
      </c>
      <c r="X152" s="17">
        <v>45524</v>
      </c>
      <c r="Y152" s="13" t="s">
        <v>4</v>
      </c>
      <c r="Z152" s="13" t="s">
        <v>1258</v>
      </c>
      <c r="AA152" s="13" t="s">
        <v>1258</v>
      </c>
      <c r="AB152" s="13" t="s">
        <v>4</v>
      </c>
      <c r="AC152" s="13" t="s">
        <v>4</v>
      </c>
      <c r="AD152" s="13" t="s">
        <v>1259</v>
      </c>
      <c r="AE152" s="19">
        <v>6852957</v>
      </c>
      <c r="AF152" s="36">
        <v>4111774.1999999997</v>
      </c>
    </row>
    <row r="153" spans="1:32" x14ac:dyDescent="0.35">
      <c r="A153" s="34">
        <v>88828330046</v>
      </c>
      <c r="B153" s="13" t="s">
        <v>1267</v>
      </c>
      <c r="C153" s="13">
        <v>86388750264</v>
      </c>
      <c r="D153" s="13" t="s">
        <v>50</v>
      </c>
      <c r="E153" s="67" t="s">
        <v>55</v>
      </c>
      <c r="F153" s="13" t="s">
        <v>214</v>
      </c>
      <c r="G153" s="13" t="s">
        <v>463</v>
      </c>
      <c r="H153" s="13" t="s">
        <v>4</v>
      </c>
      <c r="I153" s="15">
        <v>0.7</v>
      </c>
      <c r="J153" s="16">
        <v>44978</v>
      </c>
      <c r="K153" s="17">
        <f t="shared" si="2"/>
        <v>45525</v>
      </c>
      <c r="L153" s="13" t="s">
        <v>465</v>
      </c>
      <c r="M153" s="17">
        <v>45110</v>
      </c>
      <c r="N153" s="17">
        <v>45198</v>
      </c>
      <c r="O153" s="13" t="s">
        <v>468</v>
      </c>
      <c r="P153" s="18" t="s">
        <v>471</v>
      </c>
      <c r="Q153" s="17">
        <v>45343</v>
      </c>
      <c r="R153" s="13"/>
      <c r="S153" s="13" t="s">
        <v>622</v>
      </c>
      <c r="T153" s="13" t="s">
        <v>1024</v>
      </c>
      <c r="U153" s="19">
        <v>6852957</v>
      </c>
      <c r="V153" s="20">
        <v>4111774.1999999997</v>
      </c>
      <c r="W153" s="20">
        <v>685295.70000000007</v>
      </c>
      <c r="X153" s="17">
        <v>45574</v>
      </c>
      <c r="Y153" s="13" t="s">
        <v>4</v>
      </c>
      <c r="Z153" s="13" t="s">
        <v>2</v>
      </c>
      <c r="AA153" s="13" t="s">
        <v>1258</v>
      </c>
      <c r="AB153" s="13" t="s">
        <v>4</v>
      </c>
      <c r="AC153" s="13" t="s">
        <v>4</v>
      </c>
      <c r="AD153" s="13" t="s">
        <v>1259</v>
      </c>
      <c r="AE153" s="19">
        <v>8324946</v>
      </c>
      <c r="AF153" s="36">
        <v>4994967.5999999996</v>
      </c>
    </row>
    <row r="154" spans="1:32" x14ac:dyDescent="0.35">
      <c r="A154" s="34">
        <v>25316539506</v>
      </c>
      <c r="B154" s="13" t="s">
        <v>1267</v>
      </c>
      <c r="C154" s="13">
        <v>89686608884</v>
      </c>
      <c r="D154" s="13" t="s">
        <v>41</v>
      </c>
      <c r="E154" s="67" t="s">
        <v>60</v>
      </c>
      <c r="F154" s="13" t="s">
        <v>215</v>
      </c>
      <c r="G154" s="13" t="s">
        <v>463</v>
      </c>
      <c r="H154" s="13" t="s">
        <v>3</v>
      </c>
      <c r="I154" s="15">
        <v>0.6</v>
      </c>
      <c r="J154" s="16">
        <v>44985</v>
      </c>
      <c r="K154" s="17">
        <f t="shared" si="2"/>
        <v>45532</v>
      </c>
      <c r="L154" s="13" t="s">
        <v>465</v>
      </c>
      <c r="M154" s="17">
        <v>45004</v>
      </c>
      <c r="N154" s="17">
        <v>45035</v>
      </c>
      <c r="O154" s="13" t="s">
        <v>470</v>
      </c>
      <c r="P154" s="18" t="s">
        <v>469</v>
      </c>
      <c r="Q154" s="17">
        <v>45652</v>
      </c>
      <c r="R154" s="13"/>
      <c r="S154" s="13" t="s">
        <v>623</v>
      </c>
      <c r="T154" s="13" t="s">
        <v>1025</v>
      </c>
      <c r="U154" s="19">
        <v>8324946</v>
      </c>
      <c r="V154" s="20">
        <v>4994967.5999999996</v>
      </c>
      <c r="W154" s="20">
        <v>832494.60000000009</v>
      </c>
      <c r="X154" s="17">
        <v>45495</v>
      </c>
      <c r="Y154" s="13" t="s">
        <v>3</v>
      </c>
      <c r="Z154" s="13" t="s">
        <v>1258</v>
      </c>
      <c r="AA154" s="13" t="s">
        <v>1258</v>
      </c>
      <c r="AB154" s="13" t="s">
        <v>4</v>
      </c>
      <c r="AC154" s="13" t="s">
        <v>3</v>
      </c>
      <c r="AD154" s="13" t="s">
        <v>1259</v>
      </c>
      <c r="AE154" s="19">
        <v>9270346</v>
      </c>
      <c r="AF154" s="36">
        <v>5562207.5999999996</v>
      </c>
    </row>
    <row r="155" spans="1:32" x14ac:dyDescent="0.35">
      <c r="A155" s="34">
        <v>84455689818</v>
      </c>
      <c r="B155" s="13" t="s">
        <v>1267</v>
      </c>
      <c r="C155" s="13">
        <v>96809220465</v>
      </c>
      <c r="D155" s="13" t="s">
        <v>42</v>
      </c>
      <c r="E155" s="67" t="s">
        <v>55</v>
      </c>
      <c r="F155" s="13" t="s">
        <v>216</v>
      </c>
      <c r="G155" s="13" t="s">
        <v>463</v>
      </c>
      <c r="H155" s="13" t="s">
        <v>3</v>
      </c>
      <c r="I155" s="15">
        <v>0.6</v>
      </c>
      <c r="J155" s="16">
        <v>44980</v>
      </c>
      <c r="K155" s="17">
        <f t="shared" si="2"/>
        <v>45527</v>
      </c>
      <c r="L155" s="13" t="s">
        <v>465</v>
      </c>
      <c r="M155" s="17">
        <v>45249</v>
      </c>
      <c r="N155" s="17">
        <v>45214</v>
      </c>
      <c r="O155" s="13" t="s">
        <v>468</v>
      </c>
      <c r="P155" s="18" t="s">
        <v>471</v>
      </c>
      <c r="Q155" s="17">
        <v>45519</v>
      </c>
      <c r="R155" s="13"/>
      <c r="S155" s="13" t="s">
        <v>624</v>
      </c>
      <c r="T155" s="13" t="s">
        <v>1026</v>
      </c>
      <c r="U155" s="19">
        <v>9270346</v>
      </c>
      <c r="V155" s="20">
        <v>5562207.5999999996</v>
      </c>
      <c r="W155" s="20">
        <v>927034.60000000009</v>
      </c>
      <c r="X155" s="17">
        <v>45519</v>
      </c>
      <c r="Y155" s="13" t="s">
        <v>3</v>
      </c>
      <c r="Z155" s="13" t="s">
        <v>1258</v>
      </c>
      <c r="AA155" s="13" t="s">
        <v>1258</v>
      </c>
      <c r="AB155" s="13" t="s">
        <v>4</v>
      </c>
      <c r="AC155" s="13" t="s">
        <v>3</v>
      </c>
      <c r="AD155" s="13" t="s">
        <v>1259</v>
      </c>
      <c r="AE155" s="19">
        <v>2024430</v>
      </c>
      <c r="AF155" s="36">
        <v>1214658</v>
      </c>
    </row>
    <row r="156" spans="1:32" x14ac:dyDescent="0.35">
      <c r="A156" s="34">
        <v>83304744779</v>
      </c>
      <c r="B156" s="13" t="s">
        <v>1267</v>
      </c>
      <c r="C156" s="13">
        <v>84229915818</v>
      </c>
      <c r="D156" s="13" t="s">
        <v>42</v>
      </c>
      <c r="E156" s="67" t="s">
        <v>60</v>
      </c>
      <c r="F156" s="13" t="s">
        <v>217</v>
      </c>
      <c r="G156" s="13" t="s">
        <v>463</v>
      </c>
      <c r="H156" s="13" t="s">
        <v>3</v>
      </c>
      <c r="I156" s="15">
        <v>0.6</v>
      </c>
      <c r="J156" s="16">
        <v>45047</v>
      </c>
      <c r="K156" s="17">
        <f t="shared" si="2"/>
        <v>45597</v>
      </c>
      <c r="L156" s="13" t="s">
        <v>464</v>
      </c>
      <c r="M156" s="17"/>
      <c r="N156" s="17"/>
      <c r="O156" s="13"/>
      <c r="P156" s="18"/>
      <c r="Q156" s="17"/>
      <c r="R156" s="13"/>
      <c r="S156" s="13" t="s">
        <v>625</v>
      </c>
      <c r="T156" s="13" t="s">
        <v>1027</v>
      </c>
      <c r="U156" s="19">
        <v>2024430</v>
      </c>
      <c r="V156" s="20">
        <v>1214658</v>
      </c>
      <c r="W156" s="20">
        <v>202443</v>
      </c>
      <c r="X156" s="17">
        <v>45353</v>
      </c>
      <c r="Y156" s="13" t="s">
        <v>3</v>
      </c>
      <c r="Z156" s="13" t="s">
        <v>2</v>
      </c>
      <c r="AA156" s="13" t="s">
        <v>1258</v>
      </c>
      <c r="AB156" s="13" t="s">
        <v>4</v>
      </c>
      <c r="AC156" s="13" t="s">
        <v>3</v>
      </c>
      <c r="AD156" s="13" t="s">
        <v>1259</v>
      </c>
      <c r="AE156" s="19">
        <v>8743105</v>
      </c>
      <c r="AF156" s="36">
        <v>5245863</v>
      </c>
    </row>
    <row r="157" spans="1:32" x14ac:dyDescent="0.35">
      <c r="A157" s="34">
        <v>26290263355</v>
      </c>
      <c r="B157" s="13" t="s">
        <v>1267</v>
      </c>
      <c r="C157" s="13">
        <v>24048386731</v>
      </c>
      <c r="D157" s="13" t="s">
        <v>48</v>
      </c>
      <c r="E157" s="67" t="s">
        <v>58</v>
      </c>
      <c r="F157" s="13" t="s">
        <v>218</v>
      </c>
      <c r="G157" s="13" t="s">
        <v>463</v>
      </c>
      <c r="H157" s="13" t="s">
        <v>4</v>
      </c>
      <c r="I157" s="15">
        <v>0.6</v>
      </c>
      <c r="J157" s="16">
        <v>45266</v>
      </c>
      <c r="K157" s="17">
        <f t="shared" si="2"/>
        <v>45814</v>
      </c>
      <c r="L157" s="13" t="s">
        <v>464</v>
      </c>
      <c r="M157" s="17"/>
      <c r="N157" s="17"/>
      <c r="O157" s="13"/>
      <c r="P157" s="18"/>
      <c r="Q157" s="17"/>
      <c r="R157" s="13"/>
      <c r="S157" s="13" t="s">
        <v>626</v>
      </c>
      <c r="T157" s="13" t="s">
        <v>1028</v>
      </c>
      <c r="U157" s="19">
        <v>8743105</v>
      </c>
      <c r="V157" s="20">
        <v>5245863</v>
      </c>
      <c r="W157" s="20">
        <v>874310.5</v>
      </c>
      <c r="X157" s="17">
        <v>45456</v>
      </c>
      <c r="Y157" s="13" t="s">
        <v>4</v>
      </c>
      <c r="Z157" s="13" t="s">
        <v>1258</v>
      </c>
      <c r="AA157" s="13" t="s">
        <v>1258</v>
      </c>
      <c r="AB157" s="13" t="s">
        <v>4</v>
      </c>
      <c r="AC157" s="13" t="s">
        <v>4</v>
      </c>
      <c r="AD157" s="13" t="s">
        <v>1259</v>
      </c>
      <c r="AE157" s="19">
        <v>7028326</v>
      </c>
      <c r="AF157" s="36">
        <v>4216995.5999999996</v>
      </c>
    </row>
    <row r="158" spans="1:32" x14ac:dyDescent="0.35">
      <c r="A158" s="34">
        <v>59392879550</v>
      </c>
      <c r="B158" s="13" t="s">
        <v>1267</v>
      </c>
      <c r="C158" s="13">
        <v>64954592304</v>
      </c>
      <c r="D158" s="13" t="s">
        <v>45</v>
      </c>
      <c r="E158" s="67" t="s">
        <v>54</v>
      </c>
      <c r="F158" s="13" t="s">
        <v>219</v>
      </c>
      <c r="G158" s="13" t="s">
        <v>462</v>
      </c>
      <c r="H158" s="13" t="s">
        <v>4</v>
      </c>
      <c r="I158" s="15">
        <v>0.7</v>
      </c>
      <c r="J158" s="16">
        <v>45057</v>
      </c>
      <c r="K158" s="17">
        <f t="shared" si="2"/>
        <v>45607</v>
      </c>
      <c r="L158" s="13" t="s">
        <v>465</v>
      </c>
      <c r="M158" s="17">
        <v>45012</v>
      </c>
      <c r="N158" s="17">
        <v>45093</v>
      </c>
      <c r="O158" s="13" t="s">
        <v>468</v>
      </c>
      <c r="P158" s="18" t="s">
        <v>471</v>
      </c>
      <c r="Q158" s="17">
        <v>45577</v>
      </c>
      <c r="R158" s="13"/>
      <c r="S158" s="13" t="s">
        <v>627</v>
      </c>
      <c r="T158" s="13" t="s">
        <v>1029</v>
      </c>
      <c r="U158" s="19">
        <v>7028326</v>
      </c>
      <c r="V158" s="20">
        <v>4216995.5999999996</v>
      </c>
      <c r="W158" s="20">
        <v>702832.60000000009</v>
      </c>
      <c r="X158" s="17">
        <v>45424</v>
      </c>
      <c r="Y158" s="13" t="s">
        <v>4</v>
      </c>
      <c r="Z158" s="13" t="s">
        <v>1258</v>
      </c>
      <c r="AA158" s="13" t="s">
        <v>1258</v>
      </c>
      <c r="AB158" s="13" t="s">
        <v>4</v>
      </c>
      <c r="AC158" s="13" t="s">
        <v>4</v>
      </c>
      <c r="AD158" s="13" t="s">
        <v>1259</v>
      </c>
      <c r="AE158" s="19">
        <v>8811839</v>
      </c>
      <c r="AF158" s="36">
        <v>5287103.3999999994</v>
      </c>
    </row>
    <row r="159" spans="1:32" x14ac:dyDescent="0.35">
      <c r="A159" s="34">
        <v>83840209727</v>
      </c>
      <c r="B159" s="13" t="s">
        <v>1267</v>
      </c>
      <c r="C159" s="13">
        <v>77452703322</v>
      </c>
      <c r="D159" s="13" t="s">
        <v>49</v>
      </c>
      <c r="E159" s="67" t="s">
        <v>54</v>
      </c>
      <c r="F159" s="13" t="s">
        <v>220</v>
      </c>
      <c r="G159" s="13" t="s">
        <v>463</v>
      </c>
      <c r="H159" s="13" t="s">
        <v>3</v>
      </c>
      <c r="I159" s="15">
        <v>0.6</v>
      </c>
      <c r="J159" s="16">
        <v>45240</v>
      </c>
      <c r="K159" s="17">
        <f t="shared" si="2"/>
        <v>45787</v>
      </c>
      <c r="L159" s="13" t="s">
        <v>465</v>
      </c>
      <c r="M159" s="17">
        <v>45049</v>
      </c>
      <c r="N159" s="17">
        <v>45506</v>
      </c>
      <c r="O159" s="13" t="s">
        <v>470</v>
      </c>
      <c r="P159" s="18" t="s">
        <v>469</v>
      </c>
      <c r="Q159" s="17">
        <v>45520</v>
      </c>
      <c r="R159" s="13"/>
      <c r="S159" s="13" t="s">
        <v>628</v>
      </c>
      <c r="T159" s="13" t="s">
        <v>1030</v>
      </c>
      <c r="U159" s="19">
        <v>8811839</v>
      </c>
      <c r="V159" s="20">
        <v>5287103.3999999994</v>
      </c>
      <c r="W159" s="20">
        <v>881183.9</v>
      </c>
      <c r="X159" s="17">
        <v>45534</v>
      </c>
      <c r="Y159" s="13" t="s">
        <v>3</v>
      </c>
      <c r="Z159" s="13" t="s">
        <v>1258</v>
      </c>
      <c r="AA159" s="13" t="s">
        <v>1258</v>
      </c>
      <c r="AB159" s="13" t="s">
        <v>4</v>
      </c>
      <c r="AC159" s="13" t="s">
        <v>3</v>
      </c>
      <c r="AD159" s="13" t="s">
        <v>1258</v>
      </c>
      <c r="AE159" s="19">
        <v>1357902</v>
      </c>
      <c r="AF159" s="36">
        <v>814741.2</v>
      </c>
    </row>
    <row r="160" spans="1:32" x14ac:dyDescent="0.35">
      <c r="A160" s="34">
        <v>84161914333</v>
      </c>
      <c r="B160" s="13" t="s">
        <v>1267</v>
      </c>
      <c r="C160" s="13">
        <v>29739899333</v>
      </c>
      <c r="D160" s="13" t="s">
        <v>41</v>
      </c>
      <c r="E160" s="67" t="s">
        <v>59</v>
      </c>
      <c r="F160" s="13" t="s">
        <v>221</v>
      </c>
      <c r="G160" s="13" t="s">
        <v>462</v>
      </c>
      <c r="H160" s="13" t="s">
        <v>3</v>
      </c>
      <c r="I160" s="15">
        <v>0.7</v>
      </c>
      <c r="J160" s="16">
        <v>45247</v>
      </c>
      <c r="K160" s="17">
        <f t="shared" si="2"/>
        <v>45794</v>
      </c>
      <c r="L160" s="13" t="s">
        <v>464</v>
      </c>
      <c r="M160" s="17"/>
      <c r="N160" s="17"/>
      <c r="O160" s="13"/>
      <c r="P160" s="18"/>
      <c r="Q160" s="17"/>
      <c r="R160" s="13"/>
      <c r="S160" s="13" t="s">
        <v>629</v>
      </c>
      <c r="T160" s="13" t="s">
        <v>1031</v>
      </c>
      <c r="U160" s="19">
        <v>1357902</v>
      </c>
      <c r="V160" s="20">
        <v>814741.2</v>
      </c>
      <c r="W160" s="20">
        <v>135790.20000000001</v>
      </c>
      <c r="X160" s="17">
        <v>45556</v>
      </c>
      <c r="Y160" s="13" t="s">
        <v>3</v>
      </c>
      <c r="Z160" s="13" t="s">
        <v>1258</v>
      </c>
      <c r="AA160" s="13" t="s">
        <v>1258</v>
      </c>
      <c r="AB160" s="13" t="s">
        <v>4</v>
      </c>
      <c r="AC160" s="13" t="s">
        <v>3</v>
      </c>
      <c r="AD160" s="13" t="s">
        <v>1259</v>
      </c>
      <c r="AE160" s="19">
        <v>3791486</v>
      </c>
      <c r="AF160" s="36">
        <v>2274891.6</v>
      </c>
    </row>
    <row r="161" spans="1:32" x14ac:dyDescent="0.35">
      <c r="A161" s="34">
        <v>41774531446</v>
      </c>
      <c r="B161" s="13" t="s">
        <v>1267</v>
      </c>
      <c r="C161" s="13">
        <v>75577561673</v>
      </c>
      <c r="D161" s="13" t="s">
        <v>43</v>
      </c>
      <c r="E161" s="67" t="s">
        <v>57</v>
      </c>
      <c r="F161" s="13" t="s">
        <v>222</v>
      </c>
      <c r="G161" s="13" t="s">
        <v>463</v>
      </c>
      <c r="H161" s="13" t="s">
        <v>4</v>
      </c>
      <c r="I161" s="15">
        <v>0.5</v>
      </c>
      <c r="J161" s="16">
        <v>44962</v>
      </c>
      <c r="K161" s="17">
        <f t="shared" si="2"/>
        <v>45509</v>
      </c>
      <c r="L161" s="13" t="s">
        <v>464</v>
      </c>
      <c r="M161" s="17"/>
      <c r="N161" s="17"/>
      <c r="O161" s="13"/>
      <c r="P161" s="18"/>
      <c r="Q161" s="17"/>
      <c r="R161" s="13"/>
      <c r="S161" s="13" t="s">
        <v>630</v>
      </c>
      <c r="T161" s="13" t="s">
        <v>1032</v>
      </c>
      <c r="U161" s="19">
        <v>3791486</v>
      </c>
      <c r="V161" s="20">
        <v>2274891.6</v>
      </c>
      <c r="W161" s="20">
        <v>379148.60000000003</v>
      </c>
      <c r="X161" s="17">
        <v>45449</v>
      </c>
      <c r="Y161" s="13" t="s">
        <v>4</v>
      </c>
      <c r="Z161" s="13" t="s">
        <v>2</v>
      </c>
      <c r="AA161" s="13" t="s">
        <v>1258</v>
      </c>
      <c r="AB161" s="13" t="s">
        <v>4</v>
      </c>
      <c r="AC161" s="13" t="s">
        <v>4</v>
      </c>
      <c r="AD161" s="13" t="s">
        <v>1258</v>
      </c>
      <c r="AE161" s="19">
        <v>7782146</v>
      </c>
      <c r="AF161" s="36">
        <v>4669287.5999999996</v>
      </c>
    </row>
    <row r="162" spans="1:32" x14ac:dyDescent="0.35">
      <c r="A162" s="34">
        <v>33962729768</v>
      </c>
      <c r="B162" s="13" t="s">
        <v>1267</v>
      </c>
      <c r="C162" s="13">
        <v>44634807898</v>
      </c>
      <c r="D162" s="13" t="s">
        <v>48</v>
      </c>
      <c r="E162" s="67" t="s">
        <v>51</v>
      </c>
      <c r="F162" s="13" t="s">
        <v>223</v>
      </c>
      <c r="G162" s="13" t="s">
        <v>463</v>
      </c>
      <c r="H162" s="13" t="s">
        <v>3</v>
      </c>
      <c r="I162" s="15">
        <v>0.6</v>
      </c>
      <c r="J162" s="16">
        <v>44943</v>
      </c>
      <c r="K162" s="17">
        <f t="shared" si="2"/>
        <v>45490</v>
      </c>
      <c r="L162" s="13" t="s">
        <v>465</v>
      </c>
      <c r="M162" s="17">
        <v>44974</v>
      </c>
      <c r="N162" s="17">
        <v>45244</v>
      </c>
      <c r="O162" s="13" t="s">
        <v>470</v>
      </c>
      <c r="P162" s="18" t="s">
        <v>469</v>
      </c>
      <c r="Q162" s="17">
        <v>45445</v>
      </c>
      <c r="R162" s="13"/>
      <c r="S162" s="13" t="s">
        <v>631</v>
      </c>
      <c r="T162" s="13" t="s">
        <v>1033</v>
      </c>
      <c r="U162" s="19">
        <v>7782146</v>
      </c>
      <c r="V162" s="20">
        <v>4669287.5999999996</v>
      </c>
      <c r="W162" s="20">
        <v>778214.60000000009</v>
      </c>
      <c r="X162" s="17">
        <v>45565</v>
      </c>
      <c r="Y162" s="13" t="s">
        <v>3</v>
      </c>
      <c r="Z162" s="13" t="s">
        <v>1258</v>
      </c>
      <c r="AA162" s="13" t="s">
        <v>1258</v>
      </c>
      <c r="AB162" s="13" t="s">
        <v>4</v>
      </c>
      <c r="AC162" s="13" t="s">
        <v>3</v>
      </c>
      <c r="AD162" s="13" t="s">
        <v>1258</v>
      </c>
      <c r="AE162" s="19">
        <v>8871290</v>
      </c>
      <c r="AF162" s="36">
        <v>5322774</v>
      </c>
    </row>
    <row r="163" spans="1:32" x14ac:dyDescent="0.35">
      <c r="A163" s="34">
        <v>69283259214</v>
      </c>
      <c r="B163" s="13" t="s">
        <v>1267</v>
      </c>
      <c r="C163" s="13">
        <v>37547335349</v>
      </c>
      <c r="D163" s="13" t="s">
        <v>41</v>
      </c>
      <c r="E163" s="67" t="s">
        <v>59</v>
      </c>
      <c r="F163" s="13" t="s">
        <v>224</v>
      </c>
      <c r="G163" s="13" t="s">
        <v>462</v>
      </c>
      <c r="H163" s="13" t="s">
        <v>4</v>
      </c>
      <c r="I163" s="15">
        <v>0.6</v>
      </c>
      <c r="J163" s="16">
        <v>45207</v>
      </c>
      <c r="K163" s="17">
        <f t="shared" si="2"/>
        <v>45755</v>
      </c>
      <c r="L163" s="13" t="s">
        <v>464</v>
      </c>
      <c r="M163" s="17"/>
      <c r="N163" s="17"/>
      <c r="O163" s="13"/>
      <c r="P163" s="18"/>
      <c r="Q163" s="17"/>
      <c r="R163" s="13"/>
      <c r="S163" s="13" t="s">
        <v>632</v>
      </c>
      <c r="T163" s="13" t="s">
        <v>1034</v>
      </c>
      <c r="U163" s="19">
        <v>8871290</v>
      </c>
      <c r="V163" s="20">
        <v>5322774</v>
      </c>
      <c r="W163" s="20">
        <v>887129</v>
      </c>
      <c r="X163" s="17">
        <v>45459</v>
      </c>
      <c r="Y163" s="13" t="s">
        <v>4</v>
      </c>
      <c r="Z163" s="13" t="s">
        <v>1258</v>
      </c>
      <c r="AA163" s="13" t="s">
        <v>1258</v>
      </c>
      <c r="AB163" s="13" t="s">
        <v>4</v>
      </c>
      <c r="AC163" s="13" t="s">
        <v>4</v>
      </c>
      <c r="AD163" s="13" t="s">
        <v>1259</v>
      </c>
      <c r="AE163" s="19">
        <v>5305522</v>
      </c>
      <c r="AF163" s="36">
        <v>3183313.1999999997</v>
      </c>
    </row>
    <row r="164" spans="1:32" x14ac:dyDescent="0.35">
      <c r="A164" s="34">
        <v>46632681399</v>
      </c>
      <c r="B164" s="13" t="s">
        <v>1267</v>
      </c>
      <c r="C164" s="13">
        <v>83918702394</v>
      </c>
      <c r="D164" s="13" t="s">
        <v>45</v>
      </c>
      <c r="E164" s="67" t="s">
        <v>52</v>
      </c>
      <c r="F164" s="13" t="s">
        <v>225</v>
      </c>
      <c r="G164" s="13" t="s">
        <v>462</v>
      </c>
      <c r="H164" s="13" t="s">
        <v>3</v>
      </c>
      <c r="I164" s="15">
        <v>0.6</v>
      </c>
      <c r="J164" s="16">
        <v>45233</v>
      </c>
      <c r="K164" s="17">
        <f t="shared" si="2"/>
        <v>45780</v>
      </c>
      <c r="L164" s="13" t="s">
        <v>464</v>
      </c>
      <c r="M164" s="17"/>
      <c r="N164" s="17"/>
      <c r="O164" s="13"/>
      <c r="P164" s="18"/>
      <c r="Q164" s="17"/>
      <c r="R164" s="13"/>
      <c r="S164" s="13" t="s">
        <v>633</v>
      </c>
      <c r="T164" s="13" t="s">
        <v>1035</v>
      </c>
      <c r="U164" s="19">
        <v>5305522</v>
      </c>
      <c r="V164" s="20">
        <v>3183313.1999999997</v>
      </c>
      <c r="W164" s="20">
        <v>530552.20000000007</v>
      </c>
      <c r="X164" s="17">
        <v>45487</v>
      </c>
      <c r="Y164" s="13" t="s">
        <v>3</v>
      </c>
      <c r="Z164" s="13" t="s">
        <v>1258</v>
      </c>
      <c r="AA164" s="13" t="s">
        <v>1258</v>
      </c>
      <c r="AB164" s="13" t="s">
        <v>4</v>
      </c>
      <c r="AC164" s="13" t="s">
        <v>3</v>
      </c>
      <c r="AD164" s="13" t="s">
        <v>1258</v>
      </c>
      <c r="AE164" s="19">
        <v>8632596</v>
      </c>
      <c r="AF164" s="36">
        <v>5179557.5999999996</v>
      </c>
    </row>
    <row r="165" spans="1:32" x14ac:dyDescent="0.35">
      <c r="A165" s="34">
        <v>23831494803</v>
      </c>
      <c r="B165" s="13" t="s">
        <v>1267</v>
      </c>
      <c r="C165" s="13">
        <v>18646766759</v>
      </c>
      <c r="D165" s="13" t="s">
        <v>42</v>
      </c>
      <c r="E165" s="67" t="s">
        <v>60</v>
      </c>
      <c r="F165" s="13" t="s">
        <v>226</v>
      </c>
      <c r="G165" s="13" t="s">
        <v>463</v>
      </c>
      <c r="H165" s="13" t="s">
        <v>3</v>
      </c>
      <c r="I165" s="15">
        <v>0.6</v>
      </c>
      <c r="J165" s="16">
        <v>45097</v>
      </c>
      <c r="K165" s="17">
        <f t="shared" si="2"/>
        <v>45646</v>
      </c>
      <c r="L165" s="13" t="s">
        <v>465</v>
      </c>
      <c r="M165" s="17">
        <v>45208</v>
      </c>
      <c r="N165" s="17">
        <v>45450</v>
      </c>
      <c r="O165" s="13" t="s">
        <v>468</v>
      </c>
      <c r="P165" s="18" t="s">
        <v>471</v>
      </c>
      <c r="Q165" s="17">
        <v>45293</v>
      </c>
      <c r="R165" s="13"/>
      <c r="S165" s="13" t="s">
        <v>634</v>
      </c>
      <c r="T165" s="13" t="s">
        <v>1036</v>
      </c>
      <c r="U165" s="19">
        <v>8632596</v>
      </c>
      <c r="V165" s="20">
        <v>5179557.5999999996</v>
      </c>
      <c r="W165" s="20">
        <v>863259.60000000009</v>
      </c>
      <c r="X165" s="17">
        <v>45405</v>
      </c>
      <c r="Y165" s="13" t="s">
        <v>3</v>
      </c>
      <c r="Z165" s="13" t="s">
        <v>1258</v>
      </c>
      <c r="AA165" s="13" t="s">
        <v>1258</v>
      </c>
      <c r="AB165" s="13" t="s">
        <v>3</v>
      </c>
      <c r="AC165" s="13" t="s">
        <v>3</v>
      </c>
      <c r="AD165" s="13" t="s">
        <v>1259</v>
      </c>
      <c r="AE165" s="19">
        <v>8467047</v>
      </c>
      <c r="AF165" s="36">
        <v>5080228.2</v>
      </c>
    </row>
    <row r="166" spans="1:32" x14ac:dyDescent="0.35">
      <c r="A166" s="34">
        <v>40335172791</v>
      </c>
      <c r="B166" s="13" t="s">
        <v>1267</v>
      </c>
      <c r="C166" s="13">
        <v>87811472283</v>
      </c>
      <c r="D166" s="13" t="s">
        <v>47</v>
      </c>
      <c r="E166" s="67" t="s">
        <v>60</v>
      </c>
      <c r="F166" s="13" t="s">
        <v>227</v>
      </c>
      <c r="G166" s="13" t="s">
        <v>462</v>
      </c>
      <c r="H166" s="13" t="s">
        <v>3</v>
      </c>
      <c r="I166" s="15">
        <v>0.7</v>
      </c>
      <c r="J166" s="16">
        <v>45259</v>
      </c>
      <c r="K166" s="17">
        <f t="shared" si="2"/>
        <v>45806</v>
      </c>
      <c r="L166" s="13" t="s">
        <v>465</v>
      </c>
      <c r="M166" s="17">
        <v>45073</v>
      </c>
      <c r="N166" s="17">
        <v>45587</v>
      </c>
      <c r="O166" s="13" t="s">
        <v>470</v>
      </c>
      <c r="P166" s="18" t="s">
        <v>471</v>
      </c>
      <c r="Q166" s="17">
        <v>45608</v>
      </c>
      <c r="R166" s="13"/>
      <c r="S166" s="13" t="s">
        <v>635</v>
      </c>
      <c r="T166" s="13" t="s">
        <v>1037</v>
      </c>
      <c r="U166" s="19">
        <v>8467047</v>
      </c>
      <c r="V166" s="20">
        <v>5080228.2</v>
      </c>
      <c r="W166" s="20">
        <v>846704.70000000007</v>
      </c>
      <c r="X166" s="17">
        <v>45518</v>
      </c>
      <c r="Y166" s="13" t="s">
        <v>3</v>
      </c>
      <c r="Z166" s="13" t="s">
        <v>1258</v>
      </c>
      <c r="AA166" s="13" t="s">
        <v>1258</v>
      </c>
      <c r="AB166" s="13" t="s">
        <v>3</v>
      </c>
      <c r="AC166" s="13" t="s">
        <v>3</v>
      </c>
      <c r="AD166" s="13" t="s">
        <v>1259</v>
      </c>
      <c r="AE166" s="19">
        <v>1748705</v>
      </c>
      <c r="AF166" s="36">
        <v>1049223</v>
      </c>
    </row>
    <row r="167" spans="1:32" x14ac:dyDescent="0.35">
      <c r="A167" s="34">
        <v>29691825549</v>
      </c>
      <c r="B167" s="13" t="s">
        <v>1267</v>
      </c>
      <c r="C167" s="13">
        <v>57699108057</v>
      </c>
      <c r="D167" s="13" t="s">
        <v>48</v>
      </c>
      <c r="E167" s="67" t="s">
        <v>51</v>
      </c>
      <c r="F167" s="13" t="s">
        <v>228</v>
      </c>
      <c r="G167" s="13" t="s">
        <v>463</v>
      </c>
      <c r="H167" s="13" t="s">
        <v>4</v>
      </c>
      <c r="I167" s="15">
        <v>0.6</v>
      </c>
      <c r="J167" s="16">
        <v>44994</v>
      </c>
      <c r="K167" s="17">
        <f t="shared" si="2"/>
        <v>45544</v>
      </c>
      <c r="L167" s="13" t="s">
        <v>464</v>
      </c>
      <c r="M167" s="17"/>
      <c r="N167" s="17"/>
      <c r="O167" s="13"/>
      <c r="P167" s="18"/>
      <c r="Q167" s="17"/>
      <c r="R167" s="13"/>
      <c r="S167" s="13" t="s">
        <v>636</v>
      </c>
      <c r="T167" s="13" t="s">
        <v>1038</v>
      </c>
      <c r="U167" s="19">
        <v>1748705</v>
      </c>
      <c r="V167" s="20">
        <v>1049223</v>
      </c>
      <c r="W167" s="20">
        <v>174870.5</v>
      </c>
      <c r="X167" s="17">
        <v>45381</v>
      </c>
      <c r="Y167" s="13" t="s">
        <v>4</v>
      </c>
      <c r="Z167" s="13" t="s">
        <v>1258</v>
      </c>
      <c r="AA167" s="13" t="s">
        <v>1258</v>
      </c>
      <c r="AB167" s="13" t="s">
        <v>4</v>
      </c>
      <c r="AC167" s="13" t="s">
        <v>4</v>
      </c>
      <c r="AD167" s="13" t="s">
        <v>1259</v>
      </c>
      <c r="AE167" s="19">
        <v>3245984</v>
      </c>
      <c r="AF167" s="36">
        <v>1947590.4</v>
      </c>
    </row>
    <row r="168" spans="1:32" x14ac:dyDescent="0.35">
      <c r="A168" s="34">
        <v>50695865448</v>
      </c>
      <c r="B168" s="13" t="s">
        <v>1267</v>
      </c>
      <c r="C168" s="13">
        <v>68902226425</v>
      </c>
      <c r="D168" s="13" t="s">
        <v>41</v>
      </c>
      <c r="E168" s="67" t="s">
        <v>57</v>
      </c>
      <c r="F168" s="13" t="s">
        <v>229</v>
      </c>
      <c r="G168" s="13" t="s">
        <v>462</v>
      </c>
      <c r="H168" s="13" t="s">
        <v>3</v>
      </c>
      <c r="I168" s="15">
        <v>0.6</v>
      </c>
      <c r="J168" s="16">
        <v>44970</v>
      </c>
      <c r="K168" s="17">
        <f t="shared" si="2"/>
        <v>45517</v>
      </c>
      <c r="L168" s="13" t="s">
        <v>464</v>
      </c>
      <c r="M168" s="17"/>
      <c r="N168" s="17"/>
      <c r="O168" s="13"/>
      <c r="P168" s="18"/>
      <c r="Q168" s="17"/>
      <c r="R168" s="13"/>
      <c r="S168" s="13" t="s">
        <v>637</v>
      </c>
      <c r="T168" s="13" t="s">
        <v>1039</v>
      </c>
      <c r="U168" s="19">
        <v>3245984</v>
      </c>
      <c r="V168" s="20">
        <v>1947590.4</v>
      </c>
      <c r="W168" s="20">
        <v>324598.40000000002</v>
      </c>
      <c r="X168" s="17">
        <v>45394</v>
      </c>
      <c r="Y168" s="13" t="s">
        <v>3</v>
      </c>
      <c r="Z168" s="13" t="s">
        <v>1258</v>
      </c>
      <c r="AA168" s="13" t="s">
        <v>1258</v>
      </c>
      <c r="AB168" s="13" t="s">
        <v>4</v>
      </c>
      <c r="AC168" s="13" t="s">
        <v>3</v>
      </c>
      <c r="AD168" s="13" t="s">
        <v>1259</v>
      </c>
      <c r="AE168" s="19">
        <v>8961179</v>
      </c>
      <c r="AF168" s="36">
        <v>5376707.3999999994</v>
      </c>
    </row>
    <row r="169" spans="1:32" x14ac:dyDescent="0.35">
      <c r="A169" s="34">
        <v>91866990032</v>
      </c>
      <c r="B169" s="13" t="s">
        <v>1267</v>
      </c>
      <c r="C169" s="13">
        <v>78829885788</v>
      </c>
      <c r="D169" s="13" t="s">
        <v>46</v>
      </c>
      <c r="E169" s="67" t="s">
        <v>55</v>
      </c>
      <c r="F169" s="13" t="s">
        <v>230</v>
      </c>
      <c r="G169" s="13" t="s">
        <v>462</v>
      </c>
      <c r="H169" s="13" t="s">
        <v>3</v>
      </c>
      <c r="I169" s="15">
        <v>0.6</v>
      </c>
      <c r="J169" s="16">
        <v>45117</v>
      </c>
      <c r="K169" s="17">
        <f t="shared" si="2"/>
        <v>45667</v>
      </c>
      <c r="L169" s="13" t="s">
        <v>464</v>
      </c>
      <c r="M169" s="17"/>
      <c r="N169" s="17"/>
      <c r="O169" s="13"/>
      <c r="P169" s="18"/>
      <c r="Q169" s="17"/>
      <c r="R169" s="13"/>
      <c r="S169" s="13" t="s">
        <v>638</v>
      </c>
      <c r="T169" s="13" t="s">
        <v>1040</v>
      </c>
      <c r="U169" s="19">
        <v>8961179</v>
      </c>
      <c r="V169" s="20">
        <v>5376707.3999999994</v>
      </c>
      <c r="W169" s="20">
        <v>896117.9</v>
      </c>
      <c r="X169" s="17">
        <v>45478</v>
      </c>
      <c r="Y169" s="13" t="s">
        <v>3</v>
      </c>
      <c r="Z169" s="13" t="s">
        <v>2</v>
      </c>
      <c r="AA169" s="13" t="s">
        <v>1258</v>
      </c>
      <c r="AB169" s="13" t="s">
        <v>4</v>
      </c>
      <c r="AC169" s="13" t="s">
        <v>3</v>
      </c>
      <c r="AD169" s="13" t="s">
        <v>1259</v>
      </c>
      <c r="AE169" s="19">
        <v>8322326</v>
      </c>
      <c r="AF169" s="36">
        <v>4993395.5999999996</v>
      </c>
    </row>
    <row r="170" spans="1:32" x14ac:dyDescent="0.35">
      <c r="A170" s="34">
        <v>67956340419</v>
      </c>
      <c r="B170" s="13" t="s">
        <v>1267</v>
      </c>
      <c r="C170" s="13">
        <v>55042640370</v>
      </c>
      <c r="D170" s="13" t="s">
        <v>43</v>
      </c>
      <c r="E170" s="67" t="s">
        <v>56</v>
      </c>
      <c r="F170" s="13" t="s">
        <v>231</v>
      </c>
      <c r="G170" s="13" t="s">
        <v>462</v>
      </c>
      <c r="H170" s="13" t="s">
        <v>3</v>
      </c>
      <c r="I170" s="15">
        <v>0.5</v>
      </c>
      <c r="J170" s="16">
        <v>44973</v>
      </c>
      <c r="K170" s="17">
        <f t="shared" si="2"/>
        <v>45520</v>
      </c>
      <c r="L170" s="13" t="s">
        <v>464</v>
      </c>
      <c r="M170" s="17"/>
      <c r="N170" s="17"/>
      <c r="O170" s="13"/>
      <c r="P170" s="18"/>
      <c r="Q170" s="17"/>
      <c r="R170" s="13"/>
      <c r="S170" s="13" t="s">
        <v>639</v>
      </c>
      <c r="T170" s="13" t="s">
        <v>1041</v>
      </c>
      <c r="U170" s="19">
        <v>8322326</v>
      </c>
      <c r="V170" s="20">
        <v>4993395.5999999996</v>
      </c>
      <c r="W170" s="20">
        <v>832232.60000000009</v>
      </c>
      <c r="X170" s="17">
        <v>45362</v>
      </c>
      <c r="Y170" s="13" t="s">
        <v>3</v>
      </c>
      <c r="Z170" s="13" t="s">
        <v>1258</v>
      </c>
      <c r="AA170" s="13" t="s">
        <v>1258</v>
      </c>
      <c r="AB170" s="13" t="s">
        <v>4</v>
      </c>
      <c r="AC170" s="13" t="s">
        <v>3</v>
      </c>
      <c r="AD170" s="13" t="s">
        <v>1259</v>
      </c>
      <c r="AE170" s="19">
        <v>8238586</v>
      </c>
      <c r="AF170" s="36">
        <v>4943151.5999999996</v>
      </c>
    </row>
    <row r="171" spans="1:32" x14ac:dyDescent="0.35">
      <c r="A171" s="34">
        <v>50372038339</v>
      </c>
      <c r="B171" s="13" t="s">
        <v>1267</v>
      </c>
      <c r="C171" s="13">
        <v>51784170707</v>
      </c>
      <c r="D171" s="13" t="s">
        <v>45</v>
      </c>
      <c r="E171" s="67" t="s">
        <v>59</v>
      </c>
      <c r="F171" s="13" t="s">
        <v>232</v>
      </c>
      <c r="G171" s="13" t="s">
        <v>462</v>
      </c>
      <c r="H171" s="13" t="s">
        <v>4</v>
      </c>
      <c r="I171" s="15">
        <v>0.6</v>
      </c>
      <c r="J171" s="16">
        <v>45144</v>
      </c>
      <c r="K171" s="17">
        <f t="shared" si="2"/>
        <v>45694</v>
      </c>
      <c r="L171" s="13" t="s">
        <v>465</v>
      </c>
      <c r="M171" s="17">
        <v>44933</v>
      </c>
      <c r="N171" s="17">
        <v>45379</v>
      </c>
      <c r="O171" s="13" t="s">
        <v>468</v>
      </c>
      <c r="P171" s="18" t="s">
        <v>471</v>
      </c>
      <c r="Q171" s="17">
        <v>45573</v>
      </c>
      <c r="R171" s="13"/>
      <c r="S171" s="13" t="s">
        <v>640</v>
      </c>
      <c r="T171" s="13" t="s">
        <v>1042</v>
      </c>
      <c r="U171" s="19">
        <v>8238586</v>
      </c>
      <c r="V171" s="20">
        <v>4943151.5999999996</v>
      </c>
      <c r="W171" s="20">
        <v>823858.60000000009</v>
      </c>
      <c r="X171" s="17">
        <v>45554</v>
      </c>
      <c r="Y171" s="13" t="s">
        <v>4</v>
      </c>
      <c r="Z171" s="13" t="s">
        <v>1258</v>
      </c>
      <c r="AA171" s="13" t="s">
        <v>1258</v>
      </c>
      <c r="AB171" s="13" t="s">
        <v>4</v>
      </c>
      <c r="AC171" s="13" t="s">
        <v>4</v>
      </c>
      <c r="AD171" s="13" t="s">
        <v>1258</v>
      </c>
      <c r="AE171" s="19">
        <v>8012403</v>
      </c>
      <c r="AF171" s="36">
        <v>4807441.8</v>
      </c>
    </row>
    <row r="172" spans="1:32" x14ac:dyDescent="0.35">
      <c r="A172" s="34">
        <v>49878880657</v>
      </c>
      <c r="B172" s="13" t="s">
        <v>1267</v>
      </c>
      <c r="C172" s="13">
        <v>29808358608</v>
      </c>
      <c r="D172" s="13" t="s">
        <v>45</v>
      </c>
      <c r="E172" s="67" t="s">
        <v>57</v>
      </c>
      <c r="F172" s="13" t="s">
        <v>233</v>
      </c>
      <c r="G172" s="13" t="s">
        <v>463</v>
      </c>
      <c r="H172" s="13" t="s">
        <v>4</v>
      </c>
      <c r="I172" s="15">
        <v>0.6</v>
      </c>
      <c r="J172" s="16">
        <v>45122</v>
      </c>
      <c r="K172" s="17">
        <f t="shared" si="2"/>
        <v>45672</v>
      </c>
      <c r="L172" s="13" t="s">
        <v>465</v>
      </c>
      <c r="M172" s="17">
        <v>44937</v>
      </c>
      <c r="N172" s="17">
        <v>45310</v>
      </c>
      <c r="O172" s="13" t="s">
        <v>468</v>
      </c>
      <c r="P172" s="18" t="s">
        <v>471</v>
      </c>
      <c r="Q172" s="17">
        <v>45373</v>
      </c>
      <c r="R172" s="13"/>
      <c r="S172" s="13" t="s">
        <v>641</v>
      </c>
      <c r="T172" s="13" t="s">
        <v>866</v>
      </c>
      <c r="U172" s="19">
        <v>8012403</v>
      </c>
      <c r="V172" s="20">
        <v>4807441.8</v>
      </c>
      <c r="W172" s="20">
        <v>801240.3</v>
      </c>
      <c r="X172" s="17">
        <v>45351</v>
      </c>
      <c r="Y172" s="13" t="s">
        <v>4</v>
      </c>
      <c r="Z172" s="13" t="s">
        <v>2</v>
      </c>
      <c r="AA172" s="13" t="s">
        <v>1258</v>
      </c>
      <c r="AB172" s="13" t="s">
        <v>4</v>
      </c>
      <c r="AC172" s="13" t="s">
        <v>4</v>
      </c>
      <c r="AD172" s="13" t="s">
        <v>1259</v>
      </c>
      <c r="AE172" s="19">
        <v>8503685</v>
      </c>
      <c r="AF172" s="36">
        <v>5102211</v>
      </c>
    </row>
    <row r="173" spans="1:32" x14ac:dyDescent="0.35">
      <c r="A173" s="34">
        <v>15117381013</v>
      </c>
      <c r="B173" s="13" t="s">
        <v>1267</v>
      </c>
      <c r="C173" s="13">
        <v>27828784074</v>
      </c>
      <c r="D173" s="13" t="s">
        <v>48</v>
      </c>
      <c r="E173" s="67" t="s">
        <v>51</v>
      </c>
      <c r="F173" s="13" t="s">
        <v>234</v>
      </c>
      <c r="G173" s="13" t="s">
        <v>462</v>
      </c>
      <c r="H173" s="13" t="s">
        <v>4</v>
      </c>
      <c r="I173" s="15">
        <v>0.7</v>
      </c>
      <c r="J173" s="16">
        <v>45231</v>
      </c>
      <c r="K173" s="17">
        <f t="shared" si="2"/>
        <v>45778</v>
      </c>
      <c r="L173" s="13" t="s">
        <v>465</v>
      </c>
      <c r="M173" s="17">
        <v>45284</v>
      </c>
      <c r="N173" s="17">
        <v>45344</v>
      </c>
      <c r="O173" s="13" t="s">
        <v>470</v>
      </c>
      <c r="P173" s="18" t="s">
        <v>469</v>
      </c>
      <c r="Q173" s="17">
        <v>45564</v>
      </c>
      <c r="R173" s="13"/>
      <c r="S173" s="13" t="s">
        <v>642</v>
      </c>
      <c r="T173" s="13" t="s">
        <v>1043</v>
      </c>
      <c r="U173" s="19">
        <v>8503685</v>
      </c>
      <c r="V173" s="20">
        <v>5102211</v>
      </c>
      <c r="W173" s="20">
        <v>850368.5</v>
      </c>
      <c r="X173" s="17">
        <v>45452</v>
      </c>
      <c r="Y173" s="13" t="s">
        <v>4</v>
      </c>
      <c r="Z173" s="13" t="s">
        <v>2</v>
      </c>
      <c r="AA173" s="13" t="s">
        <v>1258</v>
      </c>
      <c r="AB173" s="13" t="s">
        <v>3</v>
      </c>
      <c r="AC173" s="13" t="s">
        <v>4</v>
      </c>
      <c r="AD173" s="13" t="s">
        <v>1258</v>
      </c>
      <c r="AE173" s="19">
        <v>1281728</v>
      </c>
      <c r="AF173" s="36">
        <v>769036.79999999993</v>
      </c>
    </row>
    <row r="174" spans="1:32" x14ac:dyDescent="0.35">
      <c r="A174" s="34">
        <v>11826412466</v>
      </c>
      <c r="B174" s="13" t="s">
        <v>1267</v>
      </c>
      <c r="C174" s="13">
        <v>57479845257</v>
      </c>
      <c r="D174" s="13" t="s">
        <v>43</v>
      </c>
      <c r="E174" s="67" t="s">
        <v>54</v>
      </c>
      <c r="F174" s="13" t="s">
        <v>235</v>
      </c>
      <c r="G174" s="13" t="s">
        <v>463</v>
      </c>
      <c r="H174" s="13" t="s">
        <v>4</v>
      </c>
      <c r="I174" s="15">
        <v>0.6</v>
      </c>
      <c r="J174" s="16">
        <v>45055</v>
      </c>
      <c r="K174" s="17">
        <f t="shared" si="2"/>
        <v>45605</v>
      </c>
      <c r="L174" s="13" t="s">
        <v>465</v>
      </c>
      <c r="M174" s="17">
        <v>45116</v>
      </c>
      <c r="N174" s="17">
        <v>45397</v>
      </c>
      <c r="O174" s="13" t="s">
        <v>468</v>
      </c>
      <c r="P174" s="18" t="s">
        <v>469</v>
      </c>
      <c r="Q174" s="17">
        <v>45325</v>
      </c>
      <c r="R174" s="13"/>
      <c r="S174" s="13" t="s">
        <v>643</v>
      </c>
      <c r="T174" s="13" t="s">
        <v>1044</v>
      </c>
      <c r="U174" s="19">
        <v>1281728</v>
      </c>
      <c r="V174" s="20">
        <v>769036.79999999993</v>
      </c>
      <c r="W174" s="20">
        <v>128172.8</v>
      </c>
      <c r="X174" s="17">
        <v>45469</v>
      </c>
      <c r="Y174" s="13" t="s">
        <v>4</v>
      </c>
      <c r="Z174" s="13" t="s">
        <v>2</v>
      </c>
      <c r="AA174" s="13" t="s">
        <v>1258</v>
      </c>
      <c r="AB174" s="13" t="s">
        <v>3</v>
      </c>
      <c r="AC174" s="13" t="s">
        <v>4</v>
      </c>
      <c r="AD174" s="13" t="s">
        <v>1258</v>
      </c>
      <c r="AE174" s="19">
        <v>3743782</v>
      </c>
      <c r="AF174" s="36">
        <v>2246269.1999999997</v>
      </c>
    </row>
    <row r="175" spans="1:32" x14ac:dyDescent="0.35">
      <c r="A175" s="34">
        <v>94198844595</v>
      </c>
      <c r="B175" s="13" t="s">
        <v>1267</v>
      </c>
      <c r="C175" s="13">
        <v>71938131064</v>
      </c>
      <c r="D175" s="13" t="s">
        <v>46</v>
      </c>
      <c r="E175" s="67" t="s">
        <v>54</v>
      </c>
      <c r="F175" s="13" t="s">
        <v>236</v>
      </c>
      <c r="G175" s="13" t="s">
        <v>462</v>
      </c>
      <c r="H175" s="13" t="s">
        <v>3</v>
      </c>
      <c r="I175" s="15">
        <v>0.5</v>
      </c>
      <c r="J175" s="16">
        <v>44993</v>
      </c>
      <c r="K175" s="17">
        <f t="shared" si="2"/>
        <v>45543</v>
      </c>
      <c r="L175" s="13" t="s">
        <v>465</v>
      </c>
      <c r="M175" s="17">
        <v>45011</v>
      </c>
      <c r="N175" s="17">
        <v>45244</v>
      </c>
      <c r="O175" s="13" t="s">
        <v>470</v>
      </c>
      <c r="P175" s="18" t="s">
        <v>469</v>
      </c>
      <c r="Q175" s="17">
        <v>45556</v>
      </c>
      <c r="R175" s="13"/>
      <c r="S175" s="13" t="s">
        <v>644</v>
      </c>
      <c r="T175" s="13" t="s">
        <v>1045</v>
      </c>
      <c r="U175" s="19">
        <v>3743782</v>
      </c>
      <c r="V175" s="20">
        <v>2246269.1999999997</v>
      </c>
      <c r="W175" s="20">
        <v>374378.2</v>
      </c>
      <c r="X175" s="17">
        <v>45453</v>
      </c>
      <c r="Y175" s="13" t="s">
        <v>3</v>
      </c>
      <c r="Z175" s="13" t="s">
        <v>2</v>
      </c>
      <c r="AA175" s="13" t="s">
        <v>1258</v>
      </c>
      <c r="AB175" s="13" t="s">
        <v>3</v>
      </c>
      <c r="AC175" s="13" t="s">
        <v>3</v>
      </c>
      <c r="AD175" s="13" t="s">
        <v>1259</v>
      </c>
      <c r="AE175" s="19">
        <v>7940857</v>
      </c>
      <c r="AF175" s="36">
        <v>4764514.2</v>
      </c>
    </row>
    <row r="176" spans="1:32" x14ac:dyDescent="0.35">
      <c r="A176" s="34">
        <v>98388724240</v>
      </c>
      <c r="B176" s="13" t="s">
        <v>1267</v>
      </c>
      <c r="C176" s="13">
        <v>33277235704</v>
      </c>
      <c r="D176" s="13" t="s">
        <v>50</v>
      </c>
      <c r="E176" s="67" t="s">
        <v>52</v>
      </c>
      <c r="F176" s="13" t="s">
        <v>237</v>
      </c>
      <c r="G176" s="13" t="s">
        <v>462</v>
      </c>
      <c r="H176" s="13" t="s">
        <v>3</v>
      </c>
      <c r="I176" s="15">
        <v>0.5</v>
      </c>
      <c r="J176" s="16">
        <v>45050</v>
      </c>
      <c r="K176" s="17">
        <f t="shared" si="2"/>
        <v>45600</v>
      </c>
      <c r="L176" s="13" t="s">
        <v>465</v>
      </c>
      <c r="M176" s="17">
        <v>45189</v>
      </c>
      <c r="N176" s="17">
        <v>45069</v>
      </c>
      <c r="O176" s="13" t="s">
        <v>468</v>
      </c>
      <c r="P176" s="18" t="s">
        <v>469</v>
      </c>
      <c r="Q176" s="17">
        <v>45338</v>
      </c>
      <c r="R176" s="13"/>
      <c r="S176" s="13" t="s">
        <v>645</v>
      </c>
      <c r="T176" s="13" t="s">
        <v>1046</v>
      </c>
      <c r="U176" s="19">
        <v>7940857</v>
      </c>
      <c r="V176" s="20">
        <v>4764514.2</v>
      </c>
      <c r="W176" s="20">
        <v>794085.70000000007</v>
      </c>
      <c r="X176" s="17">
        <v>45533</v>
      </c>
      <c r="Y176" s="13" t="s">
        <v>3</v>
      </c>
      <c r="Z176" s="13" t="s">
        <v>2</v>
      </c>
      <c r="AA176" s="13" t="s">
        <v>2</v>
      </c>
      <c r="AB176" s="13" t="s">
        <v>3</v>
      </c>
      <c r="AC176" s="13" t="s">
        <v>3</v>
      </c>
      <c r="AD176" s="13" t="s">
        <v>1258</v>
      </c>
      <c r="AE176" s="19">
        <v>9364516</v>
      </c>
      <c r="AF176" s="36">
        <v>5618709.5999999996</v>
      </c>
    </row>
    <row r="177" spans="1:32" x14ac:dyDescent="0.35">
      <c r="A177" s="34">
        <v>59902126342</v>
      </c>
      <c r="B177" s="13" t="s">
        <v>1267</v>
      </c>
      <c r="C177" s="13">
        <v>26966297709</v>
      </c>
      <c r="D177" s="13" t="s">
        <v>44</v>
      </c>
      <c r="E177" s="67" t="s">
        <v>57</v>
      </c>
      <c r="F177" s="13" t="s">
        <v>238</v>
      </c>
      <c r="G177" s="13" t="s">
        <v>463</v>
      </c>
      <c r="H177" s="13" t="s">
        <v>3</v>
      </c>
      <c r="I177" s="15">
        <v>0.6</v>
      </c>
      <c r="J177" s="16">
        <v>45217</v>
      </c>
      <c r="K177" s="17">
        <f t="shared" si="2"/>
        <v>45765</v>
      </c>
      <c r="L177" s="13" t="s">
        <v>464</v>
      </c>
      <c r="M177" s="17"/>
      <c r="N177" s="17"/>
      <c r="O177" s="13"/>
      <c r="P177" s="18"/>
      <c r="Q177" s="17"/>
      <c r="R177" s="13"/>
      <c r="S177" s="13" t="s">
        <v>646</v>
      </c>
      <c r="T177" s="13" t="s">
        <v>1047</v>
      </c>
      <c r="U177" s="19">
        <v>9364516</v>
      </c>
      <c r="V177" s="20">
        <v>5618709.5999999996</v>
      </c>
      <c r="W177" s="20">
        <v>936451.60000000009</v>
      </c>
      <c r="X177" s="17">
        <v>45443</v>
      </c>
      <c r="Y177" s="13" t="s">
        <v>3</v>
      </c>
      <c r="Z177" s="13" t="s">
        <v>1258</v>
      </c>
      <c r="AA177" s="13" t="s">
        <v>1258</v>
      </c>
      <c r="AB177" s="13" t="s">
        <v>3</v>
      </c>
      <c r="AC177" s="13" t="s">
        <v>3</v>
      </c>
      <c r="AD177" s="13" t="s">
        <v>1259</v>
      </c>
      <c r="AE177" s="19">
        <v>9292298</v>
      </c>
      <c r="AF177" s="36">
        <v>5575378.7999999998</v>
      </c>
    </row>
    <row r="178" spans="1:32" x14ac:dyDescent="0.35">
      <c r="A178" s="34">
        <v>10416467165</v>
      </c>
      <c r="B178" s="13" t="s">
        <v>1267</v>
      </c>
      <c r="C178" s="13">
        <v>76962748227</v>
      </c>
      <c r="D178" s="13" t="s">
        <v>44</v>
      </c>
      <c r="E178" s="67" t="s">
        <v>53</v>
      </c>
      <c r="F178" s="13" t="s">
        <v>239</v>
      </c>
      <c r="G178" s="13" t="s">
        <v>463</v>
      </c>
      <c r="H178" s="13" t="s">
        <v>4</v>
      </c>
      <c r="I178" s="15">
        <v>0.7</v>
      </c>
      <c r="J178" s="16">
        <v>45107</v>
      </c>
      <c r="K178" s="17">
        <f t="shared" si="2"/>
        <v>45656</v>
      </c>
      <c r="L178" s="13" t="s">
        <v>465</v>
      </c>
      <c r="M178" s="17">
        <v>45100</v>
      </c>
      <c r="N178" s="17">
        <v>45326</v>
      </c>
      <c r="O178" s="13" t="s">
        <v>470</v>
      </c>
      <c r="P178" s="18" t="s">
        <v>469</v>
      </c>
      <c r="Q178" s="17">
        <v>45448</v>
      </c>
      <c r="R178" s="13"/>
      <c r="S178" s="13" t="s">
        <v>647</v>
      </c>
      <c r="T178" s="13" t="s">
        <v>875</v>
      </c>
      <c r="U178" s="19">
        <v>9292298</v>
      </c>
      <c r="V178" s="20">
        <v>5575378.7999999998</v>
      </c>
      <c r="W178" s="20">
        <v>929229.8</v>
      </c>
      <c r="X178" s="17">
        <v>45438</v>
      </c>
      <c r="Y178" s="13" t="s">
        <v>4</v>
      </c>
      <c r="Z178" s="13" t="s">
        <v>2</v>
      </c>
      <c r="AA178" s="13" t="s">
        <v>2</v>
      </c>
      <c r="AB178" s="13" t="s">
        <v>3</v>
      </c>
      <c r="AC178" s="13" t="s">
        <v>4</v>
      </c>
      <c r="AD178" s="13" t="s">
        <v>1258</v>
      </c>
      <c r="AE178" s="19">
        <v>4889701</v>
      </c>
      <c r="AF178" s="36">
        <v>2933820.6</v>
      </c>
    </row>
    <row r="179" spans="1:32" x14ac:dyDescent="0.35">
      <c r="A179" s="34">
        <v>86874876746</v>
      </c>
      <c r="B179" s="13" t="s">
        <v>1267</v>
      </c>
      <c r="C179" s="13">
        <v>98905244390</v>
      </c>
      <c r="D179" s="13" t="s">
        <v>43</v>
      </c>
      <c r="E179" s="67" t="s">
        <v>56</v>
      </c>
      <c r="F179" s="13" t="s">
        <v>240</v>
      </c>
      <c r="G179" s="13" t="s">
        <v>463</v>
      </c>
      <c r="H179" s="13" t="s">
        <v>3</v>
      </c>
      <c r="I179" s="15">
        <v>0.6</v>
      </c>
      <c r="J179" s="16">
        <v>45257</v>
      </c>
      <c r="K179" s="17">
        <f t="shared" si="2"/>
        <v>45804</v>
      </c>
      <c r="L179" s="13" t="s">
        <v>464</v>
      </c>
      <c r="M179" s="17"/>
      <c r="N179" s="17"/>
      <c r="O179" s="13"/>
      <c r="P179" s="18"/>
      <c r="Q179" s="17"/>
      <c r="R179" s="13"/>
      <c r="S179" s="13" t="s">
        <v>648</v>
      </c>
      <c r="T179" s="13" t="s">
        <v>1048</v>
      </c>
      <c r="U179" s="19">
        <v>4889701</v>
      </c>
      <c r="V179" s="20">
        <v>2933820.6</v>
      </c>
      <c r="W179" s="20">
        <v>488970.10000000003</v>
      </c>
      <c r="X179" s="17">
        <v>45623</v>
      </c>
      <c r="Y179" s="13" t="s">
        <v>3</v>
      </c>
      <c r="Z179" s="13" t="s">
        <v>2</v>
      </c>
      <c r="AA179" s="13" t="s">
        <v>2</v>
      </c>
      <c r="AB179" s="13" t="s">
        <v>3</v>
      </c>
      <c r="AC179" s="13" t="s">
        <v>3</v>
      </c>
      <c r="AD179" s="13" t="s">
        <v>1258</v>
      </c>
      <c r="AE179" s="19">
        <v>7236410</v>
      </c>
      <c r="AF179" s="36">
        <v>4341846</v>
      </c>
    </row>
    <row r="180" spans="1:32" x14ac:dyDescent="0.35">
      <c r="A180" s="34">
        <v>22153796305</v>
      </c>
      <c r="B180" s="13" t="s">
        <v>1267</v>
      </c>
      <c r="C180" s="13">
        <v>76520253972</v>
      </c>
      <c r="D180" s="13" t="s">
        <v>45</v>
      </c>
      <c r="E180" s="67" t="s">
        <v>60</v>
      </c>
      <c r="F180" s="13" t="s">
        <v>241</v>
      </c>
      <c r="G180" s="13" t="s">
        <v>462</v>
      </c>
      <c r="H180" s="13" t="s">
        <v>4</v>
      </c>
      <c r="I180" s="15">
        <v>0.5</v>
      </c>
      <c r="J180" s="16">
        <v>45055</v>
      </c>
      <c r="K180" s="17">
        <f t="shared" si="2"/>
        <v>45605</v>
      </c>
      <c r="L180" s="13" t="s">
        <v>464</v>
      </c>
      <c r="M180" s="17"/>
      <c r="N180" s="17"/>
      <c r="O180" s="13"/>
      <c r="P180" s="18"/>
      <c r="Q180" s="17"/>
      <c r="R180" s="13"/>
      <c r="S180" s="13" t="s">
        <v>649</v>
      </c>
      <c r="T180" s="13" t="s">
        <v>1049</v>
      </c>
      <c r="U180" s="19">
        <v>7236410</v>
      </c>
      <c r="V180" s="20">
        <v>4341846</v>
      </c>
      <c r="W180" s="20">
        <v>723641</v>
      </c>
      <c r="X180" s="17">
        <v>45438</v>
      </c>
      <c r="Y180" s="13" t="s">
        <v>4</v>
      </c>
      <c r="Z180" s="13" t="s">
        <v>1258</v>
      </c>
      <c r="AA180" s="13" t="s">
        <v>1258</v>
      </c>
      <c r="AB180" s="13" t="s">
        <v>4</v>
      </c>
      <c r="AC180" s="13" t="s">
        <v>4</v>
      </c>
      <c r="AD180" s="13" t="s">
        <v>1258</v>
      </c>
      <c r="AE180" s="19">
        <v>6777557</v>
      </c>
      <c r="AF180" s="36">
        <v>4066534.1999999997</v>
      </c>
    </row>
    <row r="181" spans="1:32" x14ac:dyDescent="0.35">
      <c r="A181" s="34">
        <v>36508271651</v>
      </c>
      <c r="B181" s="13" t="s">
        <v>1267</v>
      </c>
      <c r="C181" s="13">
        <v>85840459488</v>
      </c>
      <c r="D181" s="13" t="s">
        <v>42</v>
      </c>
      <c r="E181" s="67" t="s">
        <v>56</v>
      </c>
      <c r="F181" s="13" t="s">
        <v>242</v>
      </c>
      <c r="G181" s="13" t="s">
        <v>462</v>
      </c>
      <c r="H181" s="13" t="s">
        <v>3</v>
      </c>
      <c r="I181" s="15">
        <v>0.5</v>
      </c>
      <c r="J181" s="16">
        <v>45181</v>
      </c>
      <c r="K181" s="17">
        <f t="shared" si="2"/>
        <v>45728</v>
      </c>
      <c r="L181" s="13" t="s">
        <v>465</v>
      </c>
      <c r="M181" s="17">
        <v>45061</v>
      </c>
      <c r="N181" s="17">
        <v>45470</v>
      </c>
      <c r="O181" s="13" t="s">
        <v>470</v>
      </c>
      <c r="P181" s="18" t="s">
        <v>469</v>
      </c>
      <c r="Q181" s="17">
        <v>45418</v>
      </c>
      <c r="R181" s="13"/>
      <c r="S181" s="13" t="s">
        <v>650</v>
      </c>
      <c r="T181" s="13" t="s">
        <v>1050</v>
      </c>
      <c r="U181" s="19">
        <v>6777557</v>
      </c>
      <c r="V181" s="20">
        <v>4066534.1999999997</v>
      </c>
      <c r="W181" s="20">
        <v>677755.70000000007</v>
      </c>
      <c r="X181" s="17">
        <v>45376</v>
      </c>
      <c r="Y181" s="13" t="s">
        <v>3</v>
      </c>
      <c r="Z181" s="13" t="s">
        <v>1258</v>
      </c>
      <c r="AA181" s="13" t="s">
        <v>1258</v>
      </c>
      <c r="AB181" s="13" t="s">
        <v>4</v>
      </c>
      <c r="AC181" s="13" t="s">
        <v>3</v>
      </c>
      <c r="AD181" s="13" t="s">
        <v>1258</v>
      </c>
      <c r="AE181" s="19">
        <v>6500595</v>
      </c>
      <c r="AF181" s="36">
        <v>3900357</v>
      </c>
    </row>
    <row r="182" spans="1:32" x14ac:dyDescent="0.35">
      <c r="A182" s="34">
        <v>45452997646</v>
      </c>
      <c r="B182" s="13" t="s">
        <v>1267</v>
      </c>
      <c r="C182" s="13">
        <v>32725101990</v>
      </c>
      <c r="D182" s="13" t="s">
        <v>50</v>
      </c>
      <c r="E182" s="67" t="s">
        <v>55</v>
      </c>
      <c r="F182" s="13" t="s">
        <v>243</v>
      </c>
      <c r="G182" s="13" t="s">
        <v>463</v>
      </c>
      <c r="H182" s="13" t="s">
        <v>4</v>
      </c>
      <c r="I182" s="15">
        <v>0.6</v>
      </c>
      <c r="J182" s="16">
        <v>45153</v>
      </c>
      <c r="K182" s="17">
        <f t="shared" si="2"/>
        <v>45703</v>
      </c>
      <c r="L182" s="13" t="s">
        <v>465</v>
      </c>
      <c r="M182" s="17">
        <v>45176</v>
      </c>
      <c r="N182" s="17">
        <v>45261</v>
      </c>
      <c r="O182" s="13" t="s">
        <v>468</v>
      </c>
      <c r="P182" s="18" t="s">
        <v>469</v>
      </c>
      <c r="Q182" s="17">
        <v>45423</v>
      </c>
      <c r="R182" s="13"/>
      <c r="S182" s="13" t="s">
        <v>651</v>
      </c>
      <c r="T182" s="13" t="s">
        <v>1051</v>
      </c>
      <c r="U182" s="19">
        <v>6500595</v>
      </c>
      <c r="V182" s="20">
        <v>3900357</v>
      </c>
      <c r="W182" s="20">
        <v>650059.5</v>
      </c>
      <c r="X182" s="17">
        <v>45388</v>
      </c>
      <c r="Y182" s="13" t="s">
        <v>4</v>
      </c>
      <c r="Z182" s="13" t="s">
        <v>2</v>
      </c>
      <c r="AA182" s="13" t="s">
        <v>2</v>
      </c>
      <c r="AB182" s="13" t="s">
        <v>3</v>
      </c>
      <c r="AC182" s="13" t="s">
        <v>4</v>
      </c>
      <c r="AD182" s="13" t="s">
        <v>1258</v>
      </c>
      <c r="AE182" s="19">
        <v>7152041</v>
      </c>
      <c r="AF182" s="36">
        <v>4291224.5999999996</v>
      </c>
    </row>
    <row r="183" spans="1:32" x14ac:dyDescent="0.35">
      <c r="A183" s="34">
        <v>83671659495</v>
      </c>
      <c r="B183" s="13" t="s">
        <v>1267</v>
      </c>
      <c r="C183" s="13">
        <v>45092654137</v>
      </c>
      <c r="D183" s="13" t="s">
        <v>41</v>
      </c>
      <c r="E183" s="67" t="s">
        <v>57</v>
      </c>
      <c r="F183" s="13" t="s">
        <v>244</v>
      </c>
      <c r="G183" s="13" t="s">
        <v>462</v>
      </c>
      <c r="H183" s="13" t="s">
        <v>4</v>
      </c>
      <c r="I183" s="15">
        <v>0.7</v>
      </c>
      <c r="J183" s="16">
        <v>45279</v>
      </c>
      <c r="K183" s="17">
        <f t="shared" si="2"/>
        <v>45827</v>
      </c>
      <c r="L183" s="13" t="s">
        <v>465</v>
      </c>
      <c r="M183" s="17">
        <v>45183</v>
      </c>
      <c r="N183" s="17">
        <v>45548</v>
      </c>
      <c r="O183" s="13" t="s">
        <v>468</v>
      </c>
      <c r="P183" s="18" t="s">
        <v>471</v>
      </c>
      <c r="Q183" s="17">
        <v>45618</v>
      </c>
      <c r="R183" s="13"/>
      <c r="S183" s="13" t="s">
        <v>652</v>
      </c>
      <c r="T183" s="13" t="s">
        <v>1052</v>
      </c>
      <c r="U183" s="19">
        <v>7152041</v>
      </c>
      <c r="V183" s="20">
        <v>4291224.5999999996</v>
      </c>
      <c r="W183" s="20">
        <v>715204.10000000009</v>
      </c>
      <c r="X183" s="17">
        <v>45627</v>
      </c>
      <c r="Y183" s="13" t="s">
        <v>4</v>
      </c>
      <c r="Z183" s="13" t="s">
        <v>1258</v>
      </c>
      <c r="AA183" s="13" t="s">
        <v>1258</v>
      </c>
      <c r="AB183" s="13" t="s">
        <v>4</v>
      </c>
      <c r="AC183" s="13" t="s">
        <v>4</v>
      </c>
      <c r="AD183" s="13" t="s">
        <v>1258</v>
      </c>
      <c r="AE183" s="19">
        <v>1715224</v>
      </c>
      <c r="AF183" s="36">
        <v>1029134.3999999999</v>
      </c>
    </row>
    <row r="184" spans="1:32" x14ac:dyDescent="0.35">
      <c r="A184" s="34">
        <v>66253269462</v>
      </c>
      <c r="B184" s="13" t="s">
        <v>1267</v>
      </c>
      <c r="C184" s="13">
        <v>43597296542</v>
      </c>
      <c r="D184" s="13" t="s">
        <v>49</v>
      </c>
      <c r="E184" s="67" t="s">
        <v>53</v>
      </c>
      <c r="F184" s="13" t="s">
        <v>245</v>
      </c>
      <c r="G184" s="13" t="s">
        <v>462</v>
      </c>
      <c r="H184" s="13" t="s">
        <v>4</v>
      </c>
      <c r="I184" s="15">
        <v>0.7</v>
      </c>
      <c r="J184" s="16">
        <v>44957</v>
      </c>
      <c r="K184" s="17">
        <f t="shared" si="2"/>
        <v>45504</v>
      </c>
      <c r="L184" s="13" t="s">
        <v>465</v>
      </c>
      <c r="M184" s="17">
        <v>45242</v>
      </c>
      <c r="N184" s="17">
        <v>45074</v>
      </c>
      <c r="O184" s="13" t="s">
        <v>468</v>
      </c>
      <c r="P184" s="18" t="s">
        <v>469</v>
      </c>
      <c r="Q184" s="17">
        <v>45337</v>
      </c>
      <c r="R184" s="13"/>
      <c r="S184" s="13" t="s">
        <v>653</v>
      </c>
      <c r="T184" s="13" t="s">
        <v>1053</v>
      </c>
      <c r="U184" s="19">
        <v>1715224</v>
      </c>
      <c r="V184" s="20">
        <v>1029134.3999999999</v>
      </c>
      <c r="W184" s="20">
        <v>171522.40000000002</v>
      </c>
      <c r="X184" s="17">
        <v>45310</v>
      </c>
      <c r="Y184" s="13" t="s">
        <v>4</v>
      </c>
      <c r="Z184" s="13" t="s">
        <v>2</v>
      </c>
      <c r="AA184" s="13" t="s">
        <v>2</v>
      </c>
      <c r="AB184" s="13" t="s">
        <v>3</v>
      </c>
      <c r="AC184" s="13" t="s">
        <v>4</v>
      </c>
      <c r="AD184" s="13" t="s">
        <v>1258</v>
      </c>
      <c r="AE184" s="19">
        <v>2554407</v>
      </c>
      <c r="AF184" s="36">
        <v>1532644.2</v>
      </c>
    </row>
    <row r="185" spans="1:32" x14ac:dyDescent="0.35">
      <c r="A185" s="34">
        <v>52851704389</v>
      </c>
      <c r="B185" s="13" t="s">
        <v>1267</v>
      </c>
      <c r="C185" s="13">
        <v>53866412547</v>
      </c>
      <c r="D185" s="13" t="s">
        <v>45</v>
      </c>
      <c r="E185" s="67" t="s">
        <v>51</v>
      </c>
      <c r="F185" s="13" t="s">
        <v>246</v>
      </c>
      <c r="G185" s="13" t="s">
        <v>462</v>
      </c>
      <c r="H185" s="13" t="s">
        <v>4</v>
      </c>
      <c r="I185" s="15">
        <v>0.6</v>
      </c>
      <c r="J185" s="16">
        <v>44974</v>
      </c>
      <c r="K185" s="17">
        <f t="shared" si="2"/>
        <v>45521</v>
      </c>
      <c r="L185" s="13" t="s">
        <v>465</v>
      </c>
      <c r="M185" s="17">
        <v>45227</v>
      </c>
      <c r="N185" s="17">
        <v>45228</v>
      </c>
      <c r="O185" s="13" t="s">
        <v>470</v>
      </c>
      <c r="P185" s="18" t="s">
        <v>469</v>
      </c>
      <c r="Q185" s="17">
        <v>45437</v>
      </c>
      <c r="R185" s="13"/>
      <c r="S185" s="13" t="s">
        <v>654</v>
      </c>
      <c r="T185" s="13" t="s">
        <v>877</v>
      </c>
      <c r="U185" s="19">
        <v>2554407</v>
      </c>
      <c r="V185" s="20">
        <v>1532644.2</v>
      </c>
      <c r="W185" s="20">
        <v>255440.7</v>
      </c>
      <c r="X185" s="17">
        <v>45420</v>
      </c>
      <c r="Y185" s="13" t="s">
        <v>4</v>
      </c>
      <c r="Z185" s="13" t="s">
        <v>1258</v>
      </c>
      <c r="AA185" s="13" t="s">
        <v>1258</v>
      </c>
      <c r="AB185" s="13" t="s">
        <v>3</v>
      </c>
      <c r="AC185" s="13" t="s">
        <v>4</v>
      </c>
      <c r="AD185" s="13" t="s">
        <v>1259</v>
      </c>
      <c r="AE185" s="19">
        <v>7057252</v>
      </c>
      <c r="AF185" s="36">
        <v>4234351.2</v>
      </c>
    </row>
    <row r="186" spans="1:32" x14ac:dyDescent="0.35">
      <c r="A186" s="34">
        <v>65126670339</v>
      </c>
      <c r="B186" s="13" t="s">
        <v>1267</v>
      </c>
      <c r="C186" s="13">
        <v>75182667220</v>
      </c>
      <c r="D186" s="13" t="s">
        <v>46</v>
      </c>
      <c r="E186" s="67" t="s">
        <v>60</v>
      </c>
      <c r="F186" s="13" t="s">
        <v>247</v>
      </c>
      <c r="G186" s="13" t="s">
        <v>462</v>
      </c>
      <c r="H186" s="13" t="s">
        <v>4</v>
      </c>
      <c r="I186" s="15">
        <v>0.6</v>
      </c>
      <c r="J186" s="16">
        <v>44929</v>
      </c>
      <c r="K186" s="17">
        <f t="shared" si="2"/>
        <v>45476</v>
      </c>
      <c r="L186" s="13" t="s">
        <v>465</v>
      </c>
      <c r="M186" s="17">
        <v>44933</v>
      </c>
      <c r="N186" s="17">
        <v>45119</v>
      </c>
      <c r="O186" s="13" t="s">
        <v>470</v>
      </c>
      <c r="P186" s="18" t="s">
        <v>471</v>
      </c>
      <c r="Q186" s="17">
        <v>45480</v>
      </c>
      <c r="R186" s="13"/>
      <c r="S186" s="13" t="s">
        <v>655</v>
      </c>
      <c r="T186" s="13" t="s">
        <v>1054</v>
      </c>
      <c r="U186" s="19">
        <v>7057252</v>
      </c>
      <c r="V186" s="20">
        <v>4234351.2</v>
      </c>
      <c r="W186" s="20">
        <v>705725.20000000007</v>
      </c>
      <c r="X186" s="17">
        <v>45579</v>
      </c>
      <c r="Y186" s="13" t="s">
        <v>4</v>
      </c>
      <c r="Z186" s="13" t="s">
        <v>2</v>
      </c>
      <c r="AA186" s="13" t="s">
        <v>2</v>
      </c>
      <c r="AB186" s="13" t="s">
        <v>3</v>
      </c>
      <c r="AC186" s="13" t="s">
        <v>4</v>
      </c>
      <c r="AD186" s="13" t="s">
        <v>1259</v>
      </c>
      <c r="AE186" s="19">
        <v>4404526</v>
      </c>
      <c r="AF186" s="36">
        <v>2642715.6</v>
      </c>
    </row>
    <row r="187" spans="1:32" x14ac:dyDescent="0.35">
      <c r="A187" s="34">
        <v>86270586323</v>
      </c>
      <c r="B187" s="13" t="s">
        <v>1267</v>
      </c>
      <c r="C187" s="13">
        <v>62321759460</v>
      </c>
      <c r="D187" s="13" t="s">
        <v>45</v>
      </c>
      <c r="E187" s="67" t="s">
        <v>52</v>
      </c>
      <c r="F187" s="13" t="s">
        <v>248</v>
      </c>
      <c r="G187" s="13" t="s">
        <v>462</v>
      </c>
      <c r="H187" s="13" t="s">
        <v>4</v>
      </c>
      <c r="I187" s="15">
        <v>0.6</v>
      </c>
      <c r="J187" s="16">
        <v>45039</v>
      </c>
      <c r="K187" s="17">
        <f t="shared" si="2"/>
        <v>45588</v>
      </c>
      <c r="L187" s="13" t="s">
        <v>465</v>
      </c>
      <c r="M187" s="17">
        <v>45030</v>
      </c>
      <c r="N187" s="17">
        <v>45342</v>
      </c>
      <c r="O187" s="13" t="s">
        <v>470</v>
      </c>
      <c r="P187" s="18" t="s">
        <v>471</v>
      </c>
      <c r="Q187" s="17">
        <v>45379</v>
      </c>
      <c r="R187" s="13"/>
      <c r="S187" s="13" t="s">
        <v>656</v>
      </c>
      <c r="T187" s="13" t="s">
        <v>1055</v>
      </c>
      <c r="U187" s="19">
        <v>4404526</v>
      </c>
      <c r="V187" s="20">
        <v>2642715.6</v>
      </c>
      <c r="W187" s="20">
        <v>440452.60000000003</v>
      </c>
      <c r="X187" s="17">
        <v>45481</v>
      </c>
      <c r="Y187" s="13" t="s">
        <v>4</v>
      </c>
      <c r="Z187" s="13" t="s">
        <v>1258</v>
      </c>
      <c r="AA187" s="13" t="s">
        <v>1258</v>
      </c>
      <c r="AB187" s="13" t="s">
        <v>3</v>
      </c>
      <c r="AC187" s="13" t="s">
        <v>4</v>
      </c>
      <c r="AD187" s="13" t="s">
        <v>1258</v>
      </c>
      <c r="AE187" s="19">
        <v>4738987</v>
      </c>
      <c r="AF187" s="36">
        <v>2843392.1999999997</v>
      </c>
    </row>
    <row r="188" spans="1:32" x14ac:dyDescent="0.35">
      <c r="A188" s="34">
        <v>81440362483</v>
      </c>
      <c r="B188" s="13" t="s">
        <v>1267</v>
      </c>
      <c r="C188" s="13">
        <v>12947849979</v>
      </c>
      <c r="D188" s="13" t="s">
        <v>46</v>
      </c>
      <c r="E188" s="67" t="s">
        <v>60</v>
      </c>
      <c r="F188" s="13" t="s">
        <v>249</v>
      </c>
      <c r="G188" s="13" t="s">
        <v>463</v>
      </c>
      <c r="H188" s="13" t="s">
        <v>3</v>
      </c>
      <c r="I188" s="15">
        <v>0.6</v>
      </c>
      <c r="J188" s="16">
        <v>45149</v>
      </c>
      <c r="K188" s="17">
        <f t="shared" si="2"/>
        <v>45699</v>
      </c>
      <c r="L188" s="13" t="s">
        <v>465</v>
      </c>
      <c r="M188" s="17">
        <v>45017</v>
      </c>
      <c r="N188" s="17">
        <v>45233</v>
      </c>
      <c r="O188" s="13" t="s">
        <v>468</v>
      </c>
      <c r="P188" s="18" t="s">
        <v>471</v>
      </c>
      <c r="Q188" s="17">
        <v>45633</v>
      </c>
      <c r="R188" s="13"/>
      <c r="S188" s="13" t="s">
        <v>657</v>
      </c>
      <c r="T188" s="13" t="s">
        <v>1056</v>
      </c>
      <c r="U188" s="19">
        <v>4738987</v>
      </c>
      <c r="V188" s="20">
        <v>2843392.1999999997</v>
      </c>
      <c r="W188" s="20">
        <v>473898.7</v>
      </c>
      <c r="X188" s="17">
        <v>45426</v>
      </c>
      <c r="Y188" s="13" t="s">
        <v>3</v>
      </c>
      <c r="Z188" s="13" t="s">
        <v>2</v>
      </c>
      <c r="AA188" s="13" t="s">
        <v>2</v>
      </c>
      <c r="AB188" s="13" t="s">
        <v>3</v>
      </c>
      <c r="AC188" s="13" t="s">
        <v>3</v>
      </c>
      <c r="AD188" s="13" t="s">
        <v>1259</v>
      </c>
      <c r="AE188" s="19">
        <v>6630185</v>
      </c>
      <c r="AF188" s="36">
        <v>3978111</v>
      </c>
    </row>
    <row r="189" spans="1:32" x14ac:dyDescent="0.35">
      <c r="A189" s="34">
        <v>29482391105</v>
      </c>
      <c r="B189" s="13" t="s">
        <v>1267</v>
      </c>
      <c r="C189" s="13">
        <v>78106009902</v>
      </c>
      <c r="D189" s="13" t="s">
        <v>44</v>
      </c>
      <c r="E189" s="67" t="s">
        <v>55</v>
      </c>
      <c r="F189" s="13" t="s">
        <v>250</v>
      </c>
      <c r="G189" s="13" t="s">
        <v>462</v>
      </c>
      <c r="H189" s="13" t="s">
        <v>4</v>
      </c>
      <c r="I189" s="15">
        <v>0.7</v>
      </c>
      <c r="J189" s="16">
        <v>45173</v>
      </c>
      <c r="K189" s="17">
        <f t="shared" si="2"/>
        <v>45720</v>
      </c>
      <c r="L189" s="13" t="s">
        <v>465</v>
      </c>
      <c r="M189" s="17">
        <v>45220</v>
      </c>
      <c r="N189" s="17">
        <v>45534</v>
      </c>
      <c r="O189" s="13" t="s">
        <v>470</v>
      </c>
      <c r="P189" s="18" t="s">
        <v>471</v>
      </c>
      <c r="Q189" s="17">
        <v>45557</v>
      </c>
      <c r="R189" s="13"/>
      <c r="S189" s="13" t="s">
        <v>658</v>
      </c>
      <c r="T189" s="13" t="s">
        <v>1057</v>
      </c>
      <c r="U189" s="19">
        <v>6630185</v>
      </c>
      <c r="V189" s="20">
        <v>3978111</v>
      </c>
      <c r="W189" s="20">
        <v>663018.5</v>
      </c>
      <c r="X189" s="17">
        <v>45549</v>
      </c>
      <c r="Y189" s="13" t="s">
        <v>4</v>
      </c>
      <c r="Z189" s="13" t="s">
        <v>1258</v>
      </c>
      <c r="AA189" s="13" t="s">
        <v>1258</v>
      </c>
      <c r="AB189" s="13" t="s">
        <v>3</v>
      </c>
      <c r="AC189" s="13" t="s">
        <v>4</v>
      </c>
      <c r="AD189" s="13" t="s">
        <v>1259</v>
      </c>
      <c r="AE189" s="19">
        <v>2446729</v>
      </c>
      <c r="AF189" s="36">
        <v>1468037.4</v>
      </c>
    </row>
    <row r="190" spans="1:32" x14ac:dyDescent="0.35">
      <c r="A190" s="34">
        <v>74522575453</v>
      </c>
      <c r="B190" s="13" t="s">
        <v>1267</v>
      </c>
      <c r="C190" s="13">
        <v>57963492480</v>
      </c>
      <c r="D190" s="13" t="s">
        <v>48</v>
      </c>
      <c r="E190" s="67" t="s">
        <v>55</v>
      </c>
      <c r="F190" s="13" t="s">
        <v>251</v>
      </c>
      <c r="G190" s="13" t="s">
        <v>463</v>
      </c>
      <c r="H190" s="13" t="s">
        <v>3</v>
      </c>
      <c r="I190" s="15">
        <v>0.7</v>
      </c>
      <c r="J190" s="16">
        <v>45209</v>
      </c>
      <c r="K190" s="17">
        <f t="shared" si="2"/>
        <v>45757</v>
      </c>
      <c r="L190" s="13" t="s">
        <v>465</v>
      </c>
      <c r="M190" s="17">
        <v>45285</v>
      </c>
      <c r="N190" s="17">
        <v>45394</v>
      </c>
      <c r="O190" s="13" t="s">
        <v>468</v>
      </c>
      <c r="P190" s="18" t="s">
        <v>469</v>
      </c>
      <c r="Q190" s="17">
        <v>45611</v>
      </c>
      <c r="R190" s="13"/>
      <c r="S190" s="13" t="s">
        <v>659</v>
      </c>
      <c r="T190" s="13" t="s">
        <v>1058</v>
      </c>
      <c r="U190" s="19">
        <v>2446729</v>
      </c>
      <c r="V190" s="20">
        <v>1468037.4</v>
      </c>
      <c r="W190" s="20">
        <v>244672.90000000002</v>
      </c>
      <c r="X190" s="17">
        <v>45613</v>
      </c>
      <c r="Y190" s="13" t="s">
        <v>3</v>
      </c>
      <c r="Z190" s="13" t="s">
        <v>1258</v>
      </c>
      <c r="AA190" s="13" t="s">
        <v>1258</v>
      </c>
      <c r="AB190" s="13" t="s">
        <v>3</v>
      </c>
      <c r="AC190" s="13" t="s">
        <v>3</v>
      </c>
      <c r="AD190" s="13" t="s">
        <v>1259</v>
      </c>
      <c r="AE190" s="19">
        <v>4541453</v>
      </c>
      <c r="AF190" s="36">
        <v>2724871.8</v>
      </c>
    </row>
    <row r="191" spans="1:32" x14ac:dyDescent="0.35">
      <c r="A191" s="34">
        <v>36654670002</v>
      </c>
      <c r="B191" s="13" t="s">
        <v>1267</v>
      </c>
      <c r="C191" s="13">
        <v>40812499083</v>
      </c>
      <c r="D191" s="13" t="s">
        <v>44</v>
      </c>
      <c r="E191" s="67" t="s">
        <v>56</v>
      </c>
      <c r="F191" s="13" t="s">
        <v>252</v>
      </c>
      <c r="G191" s="13" t="s">
        <v>462</v>
      </c>
      <c r="H191" s="13" t="s">
        <v>3</v>
      </c>
      <c r="I191" s="15">
        <v>0.6</v>
      </c>
      <c r="J191" s="16">
        <v>45235</v>
      </c>
      <c r="K191" s="17">
        <f t="shared" si="2"/>
        <v>45782</v>
      </c>
      <c r="L191" s="13" t="s">
        <v>465</v>
      </c>
      <c r="M191" s="17">
        <v>45166</v>
      </c>
      <c r="N191" s="17">
        <v>45252</v>
      </c>
      <c r="O191" s="13" t="s">
        <v>468</v>
      </c>
      <c r="P191" s="18" t="s">
        <v>471</v>
      </c>
      <c r="Q191" s="17">
        <v>45640</v>
      </c>
      <c r="R191" s="13"/>
      <c r="S191" s="13" t="s">
        <v>660</v>
      </c>
      <c r="T191" s="13" t="s">
        <v>1059</v>
      </c>
      <c r="U191" s="19">
        <v>4541453</v>
      </c>
      <c r="V191" s="20">
        <v>2724871.8</v>
      </c>
      <c r="W191" s="20">
        <v>454145.30000000005</v>
      </c>
      <c r="X191" s="17">
        <v>45398</v>
      </c>
      <c r="Y191" s="13" t="s">
        <v>3</v>
      </c>
      <c r="Z191" s="13" t="s">
        <v>1258</v>
      </c>
      <c r="AA191" s="13" t="s">
        <v>1258</v>
      </c>
      <c r="AB191" s="13" t="s">
        <v>4</v>
      </c>
      <c r="AC191" s="13" t="s">
        <v>3</v>
      </c>
      <c r="AD191" s="13" t="s">
        <v>1259</v>
      </c>
      <c r="AE191" s="19">
        <v>9539432</v>
      </c>
      <c r="AF191" s="36">
        <v>5723659.2000000002</v>
      </c>
    </row>
    <row r="192" spans="1:32" x14ac:dyDescent="0.35">
      <c r="A192" s="34">
        <v>90615179814</v>
      </c>
      <c r="B192" s="13" t="s">
        <v>1267</v>
      </c>
      <c r="C192" s="13">
        <v>27335877233</v>
      </c>
      <c r="D192" s="13" t="s">
        <v>42</v>
      </c>
      <c r="E192" s="67" t="s">
        <v>52</v>
      </c>
      <c r="F192" s="13" t="s">
        <v>253</v>
      </c>
      <c r="G192" s="13" t="s">
        <v>463</v>
      </c>
      <c r="H192" s="13" t="s">
        <v>3</v>
      </c>
      <c r="I192" s="15">
        <v>0.5</v>
      </c>
      <c r="J192" s="16">
        <v>45095</v>
      </c>
      <c r="K192" s="17">
        <f t="shared" si="2"/>
        <v>45644</v>
      </c>
      <c r="L192" s="13" t="s">
        <v>464</v>
      </c>
      <c r="M192" s="17"/>
      <c r="N192" s="17"/>
      <c r="O192" s="13"/>
      <c r="P192" s="18"/>
      <c r="Q192" s="17"/>
      <c r="R192" s="13"/>
      <c r="S192" s="13" t="s">
        <v>661</v>
      </c>
      <c r="T192" s="13" t="s">
        <v>1060</v>
      </c>
      <c r="U192" s="19">
        <v>9539432</v>
      </c>
      <c r="V192" s="20">
        <v>5723659.2000000002</v>
      </c>
      <c r="W192" s="20">
        <v>953943.20000000007</v>
      </c>
      <c r="X192" s="17">
        <v>45532</v>
      </c>
      <c r="Y192" s="13" t="s">
        <v>3</v>
      </c>
      <c r="Z192" s="13" t="s">
        <v>1258</v>
      </c>
      <c r="AA192" s="13" t="s">
        <v>1258</v>
      </c>
      <c r="AB192" s="13" t="s">
        <v>3</v>
      </c>
      <c r="AC192" s="13" t="s">
        <v>3</v>
      </c>
      <c r="AD192" s="13" t="s">
        <v>1259</v>
      </c>
      <c r="AE192" s="19">
        <v>9582763</v>
      </c>
      <c r="AF192" s="36">
        <v>5749657.7999999998</v>
      </c>
    </row>
    <row r="193" spans="1:32" x14ac:dyDescent="0.35">
      <c r="A193" s="34">
        <v>22831319609</v>
      </c>
      <c r="B193" s="13" t="s">
        <v>1267</v>
      </c>
      <c r="C193" s="13">
        <v>18174753257</v>
      </c>
      <c r="D193" s="13" t="s">
        <v>47</v>
      </c>
      <c r="E193" s="67" t="s">
        <v>54</v>
      </c>
      <c r="F193" s="13" t="s">
        <v>254</v>
      </c>
      <c r="G193" s="13" t="s">
        <v>462</v>
      </c>
      <c r="H193" s="13" t="s">
        <v>4</v>
      </c>
      <c r="I193" s="15">
        <v>0.6</v>
      </c>
      <c r="J193" s="16">
        <v>45103</v>
      </c>
      <c r="K193" s="17">
        <f t="shared" si="2"/>
        <v>45652</v>
      </c>
      <c r="L193" s="13" t="s">
        <v>465</v>
      </c>
      <c r="M193" s="17">
        <v>45174</v>
      </c>
      <c r="N193" s="17">
        <v>45381</v>
      </c>
      <c r="O193" s="13" t="s">
        <v>470</v>
      </c>
      <c r="P193" s="18" t="s">
        <v>469</v>
      </c>
      <c r="Q193" s="17">
        <v>45531</v>
      </c>
      <c r="R193" s="13"/>
      <c r="S193" s="13" t="s">
        <v>662</v>
      </c>
      <c r="T193" s="13" t="s">
        <v>1061</v>
      </c>
      <c r="U193" s="19">
        <v>9582763</v>
      </c>
      <c r="V193" s="20">
        <v>5749657.7999999998</v>
      </c>
      <c r="W193" s="20">
        <v>958276.3</v>
      </c>
      <c r="X193" s="17">
        <v>45295</v>
      </c>
      <c r="Y193" s="13" t="s">
        <v>4</v>
      </c>
      <c r="Z193" s="13" t="s">
        <v>1258</v>
      </c>
      <c r="AA193" s="13" t="s">
        <v>1258</v>
      </c>
      <c r="AB193" s="13" t="s">
        <v>3</v>
      </c>
      <c r="AC193" s="13" t="s">
        <v>4</v>
      </c>
      <c r="AD193" s="13" t="s">
        <v>1258</v>
      </c>
      <c r="AE193" s="19">
        <v>3224127</v>
      </c>
      <c r="AF193" s="36">
        <v>1934476.2</v>
      </c>
    </row>
    <row r="194" spans="1:32" x14ac:dyDescent="0.35">
      <c r="A194" s="34">
        <v>25268698307</v>
      </c>
      <c r="B194" s="13" t="s">
        <v>1267</v>
      </c>
      <c r="C194" s="13">
        <v>17266312660</v>
      </c>
      <c r="D194" s="13" t="s">
        <v>42</v>
      </c>
      <c r="E194" s="67" t="s">
        <v>53</v>
      </c>
      <c r="F194" s="13" t="s">
        <v>255</v>
      </c>
      <c r="G194" s="13" t="s">
        <v>463</v>
      </c>
      <c r="H194" s="13" t="s">
        <v>4</v>
      </c>
      <c r="I194" s="15">
        <v>0.7</v>
      </c>
      <c r="J194" s="16">
        <v>45210</v>
      </c>
      <c r="K194" s="17">
        <f t="shared" si="2"/>
        <v>45758</v>
      </c>
      <c r="L194" s="13" t="s">
        <v>464</v>
      </c>
      <c r="M194" s="17"/>
      <c r="N194" s="17"/>
      <c r="O194" s="13"/>
      <c r="P194" s="18"/>
      <c r="Q194" s="17"/>
      <c r="R194" s="13"/>
      <c r="S194" s="13" t="s">
        <v>663</v>
      </c>
      <c r="T194" s="13" t="s">
        <v>1062</v>
      </c>
      <c r="U194" s="19">
        <v>3224127</v>
      </c>
      <c r="V194" s="20">
        <v>1934476.2</v>
      </c>
      <c r="W194" s="20">
        <v>322412.7</v>
      </c>
      <c r="X194" s="17">
        <v>45486</v>
      </c>
      <c r="Y194" s="13" t="s">
        <v>4</v>
      </c>
      <c r="Z194" s="13" t="s">
        <v>1258</v>
      </c>
      <c r="AA194" s="13" t="s">
        <v>1258</v>
      </c>
      <c r="AB194" s="13" t="s">
        <v>3</v>
      </c>
      <c r="AC194" s="13" t="s">
        <v>4</v>
      </c>
      <c r="AD194" s="13" t="s">
        <v>1258</v>
      </c>
      <c r="AE194" s="19">
        <v>5765767</v>
      </c>
      <c r="AF194" s="36">
        <v>3459460.1999999997</v>
      </c>
    </row>
    <row r="195" spans="1:32" x14ac:dyDescent="0.35">
      <c r="A195" s="34">
        <v>48821506093</v>
      </c>
      <c r="B195" s="13" t="s">
        <v>1267</v>
      </c>
      <c r="C195" s="13">
        <v>70567073870</v>
      </c>
      <c r="D195" s="13" t="s">
        <v>47</v>
      </c>
      <c r="E195" s="67" t="s">
        <v>55</v>
      </c>
      <c r="F195" s="13" t="s">
        <v>256</v>
      </c>
      <c r="G195" s="13" t="s">
        <v>463</v>
      </c>
      <c r="H195" s="13" t="s">
        <v>4</v>
      </c>
      <c r="I195" s="15">
        <v>0.6</v>
      </c>
      <c r="J195" s="16">
        <v>45122</v>
      </c>
      <c r="K195" s="17">
        <f t="shared" si="2"/>
        <v>45672</v>
      </c>
      <c r="L195" s="13" t="s">
        <v>464</v>
      </c>
      <c r="M195" s="17"/>
      <c r="N195" s="17"/>
      <c r="O195" s="13"/>
      <c r="P195" s="18"/>
      <c r="Q195" s="17"/>
      <c r="R195" s="13"/>
      <c r="S195" s="13" t="s">
        <v>664</v>
      </c>
      <c r="T195" s="13" t="s">
        <v>1063</v>
      </c>
      <c r="U195" s="19">
        <v>5765767</v>
      </c>
      <c r="V195" s="20">
        <v>3459460.1999999997</v>
      </c>
      <c r="W195" s="20">
        <v>576576.70000000007</v>
      </c>
      <c r="X195" s="17">
        <v>45560</v>
      </c>
      <c r="Y195" s="13" t="s">
        <v>4</v>
      </c>
      <c r="Z195" s="13" t="s">
        <v>1258</v>
      </c>
      <c r="AA195" s="13" t="s">
        <v>1258</v>
      </c>
      <c r="AB195" s="13" t="s">
        <v>4</v>
      </c>
      <c r="AC195" s="13" t="s">
        <v>4</v>
      </c>
      <c r="AD195" s="13" t="s">
        <v>1258</v>
      </c>
      <c r="AE195" s="19">
        <v>4823276</v>
      </c>
      <c r="AF195" s="36">
        <v>2893965.6</v>
      </c>
    </row>
    <row r="196" spans="1:32" x14ac:dyDescent="0.35">
      <c r="A196" s="34">
        <v>87898185849</v>
      </c>
      <c r="B196" s="13" t="s">
        <v>1267</v>
      </c>
      <c r="C196" s="13">
        <v>81110807169</v>
      </c>
      <c r="D196" s="13" t="s">
        <v>47</v>
      </c>
      <c r="E196" s="67" t="s">
        <v>53</v>
      </c>
      <c r="F196" s="13" t="s">
        <v>257</v>
      </c>
      <c r="G196" s="13" t="s">
        <v>462</v>
      </c>
      <c r="H196" s="13" t="s">
        <v>4</v>
      </c>
      <c r="I196" s="15">
        <v>0.6</v>
      </c>
      <c r="J196" s="16">
        <v>44959</v>
      </c>
      <c r="K196" s="17">
        <f t="shared" ref="K196:K259" si="3">EDATE(J196,18)</f>
        <v>45506</v>
      </c>
      <c r="L196" s="13" t="s">
        <v>464</v>
      </c>
      <c r="M196" s="17"/>
      <c r="N196" s="17"/>
      <c r="O196" s="13"/>
      <c r="P196" s="18"/>
      <c r="Q196" s="17"/>
      <c r="R196" s="13"/>
      <c r="S196" s="13" t="s">
        <v>665</v>
      </c>
      <c r="T196" s="13" t="s">
        <v>1064</v>
      </c>
      <c r="U196" s="19">
        <v>4823276</v>
      </c>
      <c r="V196" s="20">
        <v>2893965.6</v>
      </c>
      <c r="W196" s="20">
        <v>482327.60000000003</v>
      </c>
      <c r="X196" s="17">
        <v>45320</v>
      </c>
      <c r="Y196" s="13" t="s">
        <v>4</v>
      </c>
      <c r="Z196" s="13" t="s">
        <v>1258</v>
      </c>
      <c r="AA196" s="13" t="s">
        <v>1258</v>
      </c>
      <c r="AB196" s="13" t="s">
        <v>3</v>
      </c>
      <c r="AC196" s="13" t="s">
        <v>4</v>
      </c>
      <c r="AD196" s="13" t="s">
        <v>1259</v>
      </c>
      <c r="AE196" s="19">
        <v>2940824</v>
      </c>
      <c r="AF196" s="36">
        <v>1764494.4</v>
      </c>
    </row>
    <row r="197" spans="1:32" x14ac:dyDescent="0.35">
      <c r="A197" s="34">
        <v>85674778679</v>
      </c>
      <c r="B197" s="13" t="s">
        <v>1267</v>
      </c>
      <c r="C197" s="13">
        <v>35339362971</v>
      </c>
      <c r="D197" s="13" t="s">
        <v>49</v>
      </c>
      <c r="E197" s="67" t="s">
        <v>52</v>
      </c>
      <c r="F197" s="13" t="s">
        <v>258</v>
      </c>
      <c r="G197" s="13" t="s">
        <v>463</v>
      </c>
      <c r="H197" s="13" t="s">
        <v>3</v>
      </c>
      <c r="I197" s="15">
        <v>0.6</v>
      </c>
      <c r="J197" s="16">
        <v>45002</v>
      </c>
      <c r="K197" s="17">
        <f t="shared" si="3"/>
        <v>45552</v>
      </c>
      <c r="L197" s="13" t="s">
        <v>465</v>
      </c>
      <c r="M197" s="17">
        <v>45107</v>
      </c>
      <c r="N197" s="17">
        <v>45051</v>
      </c>
      <c r="O197" s="13" t="s">
        <v>468</v>
      </c>
      <c r="P197" s="18" t="s">
        <v>469</v>
      </c>
      <c r="Q197" s="17">
        <v>45433</v>
      </c>
      <c r="R197" s="13"/>
      <c r="S197" s="13" t="s">
        <v>666</v>
      </c>
      <c r="T197" s="13" t="s">
        <v>1065</v>
      </c>
      <c r="U197" s="19">
        <v>2940824</v>
      </c>
      <c r="V197" s="20">
        <v>1764494.4</v>
      </c>
      <c r="W197" s="20">
        <v>294082.40000000002</v>
      </c>
      <c r="X197" s="17">
        <v>45373</v>
      </c>
      <c r="Y197" s="13" t="s">
        <v>3</v>
      </c>
      <c r="Z197" s="13" t="s">
        <v>2</v>
      </c>
      <c r="AA197" s="13" t="s">
        <v>2</v>
      </c>
      <c r="AB197" s="13" t="s">
        <v>3</v>
      </c>
      <c r="AC197" s="13" t="s">
        <v>3</v>
      </c>
      <c r="AD197" s="13" t="s">
        <v>1259</v>
      </c>
      <c r="AE197" s="19">
        <v>5342840</v>
      </c>
      <c r="AF197" s="36">
        <v>3205704</v>
      </c>
    </row>
    <row r="198" spans="1:32" x14ac:dyDescent="0.35">
      <c r="A198" s="34">
        <v>63392348393</v>
      </c>
      <c r="B198" s="13" t="s">
        <v>1267</v>
      </c>
      <c r="C198" s="13">
        <v>47578003043</v>
      </c>
      <c r="D198" s="13" t="s">
        <v>47</v>
      </c>
      <c r="E198" s="67" t="s">
        <v>58</v>
      </c>
      <c r="F198" s="13" t="s">
        <v>259</v>
      </c>
      <c r="G198" s="13" t="s">
        <v>463</v>
      </c>
      <c r="H198" s="13" t="s">
        <v>4</v>
      </c>
      <c r="I198" s="15">
        <v>0.6</v>
      </c>
      <c r="J198" s="16">
        <v>45016</v>
      </c>
      <c r="K198" s="17">
        <f t="shared" si="3"/>
        <v>45565</v>
      </c>
      <c r="L198" s="13" t="s">
        <v>465</v>
      </c>
      <c r="M198" s="17">
        <v>45260</v>
      </c>
      <c r="N198" s="17">
        <v>45272</v>
      </c>
      <c r="O198" s="13" t="s">
        <v>470</v>
      </c>
      <c r="P198" s="18" t="s">
        <v>469</v>
      </c>
      <c r="Q198" s="17">
        <v>45369</v>
      </c>
      <c r="R198" s="13"/>
      <c r="S198" s="13" t="s">
        <v>667</v>
      </c>
      <c r="T198" s="13" t="s">
        <v>1066</v>
      </c>
      <c r="U198" s="19">
        <v>5342840</v>
      </c>
      <c r="V198" s="20">
        <v>3205704</v>
      </c>
      <c r="W198" s="20">
        <v>534284</v>
      </c>
      <c r="X198" s="17">
        <v>45343</v>
      </c>
      <c r="Y198" s="13" t="s">
        <v>4</v>
      </c>
      <c r="Z198" s="13" t="s">
        <v>2</v>
      </c>
      <c r="AA198" s="13" t="s">
        <v>2</v>
      </c>
      <c r="AB198" s="13" t="s">
        <v>3</v>
      </c>
      <c r="AC198" s="13" t="s">
        <v>4</v>
      </c>
      <c r="AD198" s="13" t="s">
        <v>1259</v>
      </c>
      <c r="AE198" s="19">
        <v>1127103</v>
      </c>
      <c r="AF198" s="36">
        <v>676261.79999999993</v>
      </c>
    </row>
    <row r="199" spans="1:32" x14ac:dyDescent="0.35">
      <c r="A199" s="34">
        <v>81467239643</v>
      </c>
      <c r="B199" s="13" t="s">
        <v>1267</v>
      </c>
      <c r="C199" s="13">
        <v>91097427565</v>
      </c>
      <c r="D199" s="13" t="s">
        <v>41</v>
      </c>
      <c r="E199" s="67" t="s">
        <v>56</v>
      </c>
      <c r="F199" s="13" t="s">
        <v>260</v>
      </c>
      <c r="G199" s="13" t="s">
        <v>463</v>
      </c>
      <c r="H199" s="13" t="s">
        <v>3</v>
      </c>
      <c r="I199" s="15">
        <v>0.7</v>
      </c>
      <c r="J199" s="16">
        <v>45036</v>
      </c>
      <c r="K199" s="17">
        <f t="shared" si="3"/>
        <v>45585</v>
      </c>
      <c r="L199" s="13" t="s">
        <v>465</v>
      </c>
      <c r="M199" s="17">
        <v>45231</v>
      </c>
      <c r="N199" s="17">
        <v>45067</v>
      </c>
      <c r="O199" s="13" t="s">
        <v>468</v>
      </c>
      <c r="P199" s="18" t="s">
        <v>471</v>
      </c>
      <c r="Q199" s="17">
        <v>45368</v>
      </c>
      <c r="R199" s="13"/>
      <c r="S199" s="13" t="s">
        <v>668</v>
      </c>
      <c r="T199" s="13" t="s">
        <v>1067</v>
      </c>
      <c r="U199" s="19">
        <v>1127103</v>
      </c>
      <c r="V199" s="20">
        <v>676261.79999999993</v>
      </c>
      <c r="W199" s="20">
        <v>112710.3</v>
      </c>
      <c r="X199" s="17">
        <v>45327</v>
      </c>
      <c r="Y199" s="13" t="s">
        <v>3</v>
      </c>
      <c r="Z199" s="13" t="s">
        <v>1258</v>
      </c>
      <c r="AA199" s="13" t="s">
        <v>1258</v>
      </c>
      <c r="AB199" s="13" t="s">
        <v>4</v>
      </c>
      <c r="AC199" s="13" t="s">
        <v>3</v>
      </c>
      <c r="AD199" s="13" t="s">
        <v>1259</v>
      </c>
      <c r="AE199" s="19">
        <v>2566387</v>
      </c>
      <c r="AF199" s="36">
        <v>1539832.2</v>
      </c>
    </row>
    <row r="200" spans="1:32" x14ac:dyDescent="0.35">
      <c r="A200" s="34">
        <v>82674244578</v>
      </c>
      <c r="B200" s="13" t="s">
        <v>1267</v>
      </c>
      <c r="C200" s="13">
        <v>22281383795</v>
      </c>
      <c r="D200" s="13" t="s">
        <v>49</v>
      </c>
      <c r="E200" s="67" t="s">
        <v>51</v>
      </c>
      <c r="F200" s="13" t="s">
        <v>261</v>
      </c>
      <c r="G200" s="13" t="s">
        <v>463</v>
      </c>
      <c r="H200" s="13" t="s">
        <v>3</v>
      </c>
      <c r="I200" s="15">
        <v>0.6</v>
      </c>
      <c r="J200" s="16">
        <v>45142</v>
      </c>
      <c r="K200" s="17">
        <f t="shared" si="3"/>
        <v>45692</v>
      </c>
      <c r="L200" s="13" t="s">
        <v>464</v>
      </c>
      <c r="M200" s="17"/>
      <c r="N200" s="17"/>
      <c r="O200" s="13"/>
      <c r="P200" s="18"/>
      <c r="Q200" s="17"/>
      <c r="R200" s="13"/>
      <c r="S200" s="13" t="s">
        <v>669</v>
      </c>
      <c r="T200" s="13" t="s">
        <v>1068</v>
      </c>
      <c r="U200" s="19">
        <v>2566387</v>
      </c>
      <c r="V200" s="20">
        <v>1539832.2</v>
      </c>
      <c r="W200" s="20">
        <v>256638.7</v>
      </c>
      <c r="X200" s="17">
        <v>45627</v>
      </c>
      <c r="Y200" s="13" t="s">
        <v>3</v>
      </c>
      <c r="Z200" s="13" t="s">
        <v>2</v>
      </c>
      <c r="AA200" s="13" t="s">
        <v>2</v>
      </c>
      <c r="AB200" s="13" t="s">
        <v>3</v>
      </c>
      <c r="AC200" s="13" t="s">
        <v>3</v>
      </c>
      <c r="AD200" s="13" t="s">
        <v>1259</v>
      </c>
      <c r="AE200" s="19">
        <v>7291718</v>
      </c>
      <c r="AF200" s="36">
        <v>4375030.8</v>
      </c>
    </row>
    <row r="201" spans="1:32" x14ac:dyDescent="0.35">
      <c r="A201" s="34">
        <v>68670647294</v>
      </c>
      <c r="B201" s="13" t="s">
        <v>1267</v>
      </c>
      <c r="C201" s="13">
        <v>15682989778</v>
      </c>
      <c r="D201" s="13" t="s">
        <v>45</v>
      </c>
      <c r="E201" s="67" t="s">
        <v>58</v>
      </c>
      <c r="F201" s="13" t="s">
        <v>262</v>
      </c>
      <c r="G201" s="13" t="s">
        <v>463</v>
      </c>
      <c r="H201" s="13" t="s">
        <v>3</v>
      </c>
      <c r="I201" s="15">
        <v>0.6</v>
      </c>
      <c r="J201" s="16">
        <v>44928</v>
      </c>
      <c r="K201" s="17">
        <f t="shared" si="3"/>
        <v>45475</v>
      </c>
      <c r="L201" s="13" t="s">
        <v>465</v>
      </c>
      <c r="M201" s="17">
        <v>45111</v>
      </c>
      <c r="N201" s="17">
        <v>45117</v>
      </c>
      <c r="O201" s="13" t="s">
        <v>470</v>
      </c>
      <c r="P201" s="18" t="s">
        <v>469</v>
      </c>
      <c r="Q201" s="17">
        <v>45636</v>
      </c>
      <c r="R201" s="13"/>
      <c r="S201" s="13" t="s">
        <v>670</v>
      </c>
      <c r="T201" s="13" t="s">
        <v>1069</v>
      </c>
      <c r="U201" s="19">
        <v>7291718</v>
      </c>
      <c r="V201" s="20">
        <v>4375030.8</v>
      </c>
      <c r="W201" s="20">
        <v>729171.8</v>
      </c>
      <c r="X201" s="17">
        <v>45568</v>
      </c>
      <c r="Y201" s="13" t="s">
        <v>3</v>
      </c>
      <c r="Z201" s="13" t="s">
        <v>1258</v>
      </c>
      <c r="AA201" s="13" t="s">
        <v>1258</v>
      </c>
      <c r="AB201" s="13" t="s">
        <v>4</v>
      </c>
      <c r="AC201" s="13" t="s">
        <v>3</v>
      </c>
      <c r="AD201" s="13" t="s">
        <v>1259</v>
      </c>
      <c r="AE201" s="19">
        <v>1243980</v>
      </c>
      <c r="AF201" s="36">
        <v>746388</v>
      </c>
    </row>
    <row r="202" spans="1:32" x14ac:dyDescent="0.35">
      <c r="A202" s="34">
        <v>50593759426</v>
      </c>
      <c r="B202" s="13" t="s">
        <v>1268</v>
      </c>
      <c r="C202" s="13">
        <v>28095343671</v>
      </c>
      <c r="D202" s="13" t="s">
        <v>50</v>
      </c>
      <c r="E202" s="67" t="s">
        <v>53</v>
      </c>
      <c r="F202" s="13" t="s">
        <v>263</v>
      </c>
      <c r="G202" s="13" t="s">
        <v>463</v>
      </c>
      <c r="H202" s="13" t="s">
        <v>3</v>
      </c>
      <c r="I202" s="15">
        <v>0.6</v>
      </c>
      <c r="J202" s="16">
        <v>45118</v>
      </c>
      <c r="K202" s="17">
        <f t="shared" si="3"/>
        <v>45668</v>
      </c>
      <c r="L202" s="13" t="s">
        <v>465</v>
      </c>
      <c r="M202" s="17">
        <v>45107</v>
      </c>
      <c r="N202" s="17">
        <v>45351</v>
      </c>
      <c r="O202" s="13" t="s">
        <v>470</v>
      </c>
      <c r="P202" s="18" t="s">
        <v>471</v>
      </c>
      <c r="Q202" s="17">
        <v>45452</v>
      </c>
      <c r="R202" s="13"/>
      <c r="S202" s="13" t="s">
        <v>671</v>
      </c>
      <c r="T202" s="13" t="s">
        <v>1070</v>
      </c>
      <c r="U202" s="19">
        <v>1243980</v>
      </c>
      <c r="V202" s="20">
        <v>746388</v>
      </c>
      <c r="W202" s="20">
        <v>124398</v>
      </c>
      <c r="X202" s="17">
        <v>45398</v>
      </c>
      <c r="Y202" s="13" t="s">
        <v>3</v>
      </c>
      <c r="Z202" s="13" t="s">
        <v>1258</v>
      </c>
      <c r="AA202" s="13" t="s">
        <v>1258</v>
      </c>
      <c r="AB202" s="13" t="s">
        <v>3</v>
      </c>
      <c r="AC202" s="13" t="s">
        <v>3</v>
      </c>
      <c r="AD202" s="13" t="s">
        <v>1259</v>
      </c>
      <c r="AE202" s="19">
        <v>2851476</v>
      </c>
      <c r="AF202" s="36">
        <v>1710885.5999999999</v>
      </c>
    </row>
    <row r="203" spans="1:32" x14ac:dyDescent="0.35">
      <c r="A203" s="34">
        <v>59091155833</v>
      </c>
      <c r="B203" s="13" t="s">
        <v>1268</v>
      </c>
      <c r="C203" s="13">
        <v>19095592294</v>
      </c>
      <c r="D203" s="13" t="s">
        <v>48</v>
      </c>
      <c r="E203" s="67" t="s">
        <v>55</v>
      </c>
      <c r="F203" s="13" t="s">
        <v>264</v>
      </c>
      <c r="G203" s="13" t="s">
        <v>463</v>
      </c>
      <c r="H203" s="13" t="s">
        <v>3</v>
      </c>
      <c r="I203" s="15">
        <v>0.6</v>
      </c>
      <c r="J203" s="16">
        <v>45129</v>
      </c>
      <c r="K203" s="17">
        <f t="shared" si="3"/>
        <v>45679</v>
      </c>
      <c r="L203" s="13" t="s">
        <v>465</v>
      </c>
      <c r="M203" s="17">
        <v>45118</v>
      </c>
      <c r="N203" s="17">
        <v>45402</v>
      </c>
      <c r="O203" s="13" t="s">
        <v>470</v>
      </c>
      <c r="P203" s="18" t="s">
        <v>471</v>
      </c>
      <c r="Q203" s="17">
        <v>45610</v>
      </c>
      <c r="R203" s="13"/>
      <c r="S203" s="13" t="s">
        <v>672</v>
      </c>
      <c r="T203" s="13" t="s">
        <v>1071</v>
      </c>
      <c r="U203" s="19">
        <v>2851476</v>
      </c>
      <c r="V203" s="20">
        <v>1710885.5999999999</v>
      </c>
      <c r="W203" s="20">
        <v>285147.60000000003</v>
      </c>
      <c r="X203" s="17">
        <v>45361</v>
      </c>
      <c r="Y203" s="13" t="s">
        <v>3</v>
      </c>
      <c r="Z203" s="13" t="s">
        <v>2</v>
      </c>
      <c r="AA203" s="13" t="s">
        <v>2</v>
      </c>
      <c r="AB203" s="13" t="s">
        <v>3</v>
      </c>
      <c r="AC203" s="13" t="s">
        <v>3</v>
      </c>
      <c r="AD203" s="13" t="s">
        <v>1259</v>
      </c>
      <c r="AE203" s="19">
        <v>2587221</v>
      </c>
      <c r="AF203" s="36">
        <v>1552332.5999999999</v>
      </c>
    </row>
    <row r="204" spans="1:32" x14ac:dyDescent="0.35">
      <c r="A204" s="34">
        <v>11159015505</v>
      </c>
      <c r="B204" s="13" t="s">
        <v>1268</v>
      </c>
      <c r="C204" s="13">
        <v>35546248357</v>
      </c>
      <c r="D204" s="13" t="s">
        <v>41</v>
      </c>
      <c r="E204" s="67" t="s">
        <v>54</v>
      </c>
      <c r="F204" s="13" t="s">
        <v>265</v>
      </c>
      <c r="G204" s="13" t="s">
        <v>462</v>
      </c>
      <c r="H204" s="13" t="s">
        <v>4</v>
      </c>
      <c r="I204" s="15">
        <v>0.6</v>
      </c>
      <c r="J204" s="16">
        <v>45087</v>
      </c>
      <c r="K204" s="17">
        <f t="shared" si="3"/>
        <v>45636</v>
      </c>
      <c r="L204" s="13" t="s">
        <v>464</v>
      </c>
      <c r="M204" s="17"/>
      <c r="N204" s="17"/>
      <c r="O204" s="13"/>
      <c r="P204" s="18"/>
      <c r="Q204" s="17"/>
      <c r="R204" s="13"/>
      <c r="S204" s="13" t="s">
        <v>673</v>
      </c>
      <c r="T204" s="13" t="s">
        <v>1072</v>
      </c>
      <c r="U204" s="19">
        <v>2587221</v>
      </c>
      <c r="V204" s="20">
        <v>1552332.5999999999</v>
      </c>
      <c r="W204" s="20">
        <v>258722.1</v>
      </c>
      <c r="X204" s="17">
        <v>45375</v>
      </c>
      <c r="Y204" s="13" t="s">
        <v>4</v>
      </c>
      <c r="Z204" s="13" t="s">
        <v>2</v>
      </c>
      <c r="AA204" s="13" t="s">
        <v>2</v>
      </c>
      <c r="AB204" s="13" t="s">
        <v>3</v>
      </c>
      <c r="AC204" s="13" t="s">
        <v>4</v>
      </c>
      <c r="AD204" s="13" t="s">
        <v>1259</v>
      </c>
      <c r="AE204" s="19">
        <v>3584779</v>
      </c>
      <c r="AF204" s="36">
        <v>2150867.4</v>
      </c>
    </row>
    <row r="205" spans="1:32" x14ac:dyDescent="0.35">
      <c r="A205" s="34">
        <v>87796678751</v>
      </c>
      <c r="B205" s="13" t="s">
        <v>1268</v>
      </c>
      <c r="C205" s="13">
        <v>38614966344</v>
      </c>
      <c r="D205" s="13" t="s">
        <v>48</v>
      </c>
      <c r="E205" s="67" t="s">
        <v>58</v>
      </c>
      <c r="F205" s="13" t="s">
        <v>266</v>
      </c>
      <c r="G205" s="13" t="s">
        <v>462</v>
      </c>
      <c r="H205" s="13" t="s">
        <v>4</v>
      </c>
      <c r="I205" s="15">
        <v>0.6</v>
      </c>
      <c r="J205" s="16">
        <v>45148</v>
      </c>
      <c r="K205" s="17">
        <f t="shared" si="3"/>
        <v>45698</v>
      </c>
      <c r="L205" s="13" t="s">
        <v>465</v>
      </c>
      <c r="M205" s="17">
        <v>45224</v>
      </c>
      <c r="N205" s="17">
        <v>45499</v>
      </c>
      <c r="O205" s="13" t="s">
        <v>470</v>
      </c>
      <c r="P205" s="18" t="s">
        <v>471</v>
      </c>
      <c r="Q205" s="17">
        <v>45620</v>
      </c>
      <c r="R205" s="13"/>
      <c r="S205" s="13" t="s">
        <v>674</v>
      </c>
      <c r="T205" s="13" t="s">
        <v>1073</v>
      </c>
      <c r="U205" s="19">
        <v>3584779</v>
      </c>
      <c r="V205" s="20">
        <v>2150867.4</v>
      </c>
      <c r="W205" s="20">
        <v>358477.9</v>
      </c>
      <c r="X205" s="17">
        <v>45588</v>
      </c>
      <c r="Y205" s="13" t="s">
        <v>4</v>
      </c>
      <c r="Z205" s="13" t="s">
        <v>2</v>
      </c>
      <c r="AA205" s="13" t="s">
        <v>2</v>
      </c>
      <c r="AB205" s="13" t="s">
        <v>3</v>
      </c>
      <c r="AC205" s="13" t="s">
        <v>4</v>
      </c>
      <c r="AD205" s="13" t="s">
        <v>1259</v>
      </c>
      <c r="AE205" s="19">
        <v>9554913</v>
      </c>
      <c r="AF205" s="36">
        <v>5732947.7999999998</v>
      </c>
    </row>
    <row r="206" spans="1:32" x14ac:dyDescent="0.35">
      <c r="A206" s="34">
        <v>18676770444</v>
      </c>
      <c r="B206" s="13" t="s">
        <v>1268</v>
      </c>
      <c r="C206" s="13">
        <v>30413380883</v>
      </c>
      <c r="D206" s="13" t="s">
        <v>46</v>
      </c>
      <c r="E206" s="67" t="s">
        <v>55</v>
      </c>
      <c r="F206" s="13" t="s">
        <v>267</v>
      </c>
      <c r="G206" s="13" t="s">
        <v>462</v>
      </c>
      <c r="H206" s="13" t="s">
        <v>3</v>
      </c>
      <c r="I206" s="15">
        <v>0.6</v>
      </c>
      <c r="J206" s="16">
        <v>45189</v>
      </c>
      <c r="K206" s="17">
        <f t="shared" si="3"/>
        <v>45736</v>
      </c>
      <c r="L206" s="13" t="s">
        <v>465</v>
      </c>
      <c r="M206" s="17">
        <v>45203</v>
      </c>
      <c r="N206" s="17">
        <v>45468</v>
      </c>
      <c r="O206" s="13" t="s">
        <v>470</v>
      </c>
      <c r="P206" s="18" t="s">
        <v>471</v>
      </c>
      <c r="Q206" s="17">
        <v>45553</v>
      </c>
      <c r="R206" s="13"/>
      <c r="S206" s="13" t="s">
        <v>675</v>
      </c>
      <c r="T206" s="13" t="s">
        <v>1074</v>
      </c>
      <c r="U206" s="19">
        <v>9554913</v>
      </c>
      <c r="V206" s="20">
        <v>5732947.7999999998</v>
      </c>
      <c r="W206" s="20">
        <v>955491.3</v>
      </c>
      <c r="X206" s="17">
        <v>45578</v>
      </c>
      <c r="Y206" s="13" t="s">
        <v>3</v>
      </c>
      <c r="Z206" s="13" t="s">
        <v>2</v>
      </c>
      <c r="AA206" s="13" t="s">
        <v>2</v>
      </c>
      <c r="AB206" s="13" t="s">
        <v>4</v>
      </c>
      <c r="AC206" s="13" t="s">
        <v>3</v>
      </c>
      <c r="AD206" s="13" t="s">
        <v>1258</v>
      </c>
      <c r="AE206" s="19">
        <v>6267765</v>
      </c>
      <c r="AF206" s="36">
        <v>3760659</v>
      </c>
    </row>
    <row r="207" spans="1:32" x14ac:dyDescent="0.35">
      <c r="A207" s="34">
        <v>55349110991</v>
      </c>
      <c r="B207" s="13" t="s">
        <v>1268</v>
      </c>
      <c r="C207" s="13">
        <v>61727950664</v>
      </c>
      <c r="D207" s="13" t="s">
        <v>49</v>
      </c>
      <c r="E207" s="67" t="s">
        <v>56</v>
      </c>
      <c r="F207" s="13" t="s">
        <v>268</v>
      </c>
      <c r="G207" s="13" t="s">
        <v>462</v>
      </c>
      <c r="H207" s="13" t="s">
        <v>3</v>
      </c>
      <c r="I207" s="15">
        <v>0.5</v>
      </c>
      <c r="J207" s="16">
        <v>45021</v>
      </c>
      <c r="K207" s="17">
        <f t="shared" si="3"/>
        <v>45570</v>
      </c>
      <c r="L207" s="13" t="s">
        <v>464</v>
      </c>
      <c r="M207" s="17"/>
      <c r="N207" s="17"/>
      <c r="O207" s="13"/>
      <c r="P207" s="18"/>
      <c r="Q207" s="17"/>
      <c r="R207" s="13"/>
      <c r="S207" s="13" t="s">
        <v>676</v>
      </c>
      <c r="T207" s="13" t="s">
        <v>1075</v>
      </c>
      <c r="U207" s="19">
        <v>6267765</v>
      </c>
      <c r="V207" s="20">
        <v>3760659</v>
      </c>
      <c r="W207" s="20">
        <v>626776.5</v>
      </c>
      <c r="X207" s="17">
        <v>45524</v>
      </c>
      <c r="Y207" s="13" t="s">
        <v>3</v>
      </c>
      <c r="Z207" s="13" t="s">
        <v>1258</v>
      </c>
      <c r="AA207" s="13" t="s">
        <v>1258</v>
      </c>
      <c r="AB207" s="13" t="s">
        <v>4</v>
      </c>
      <c r="AC207" s="13" t="s">
        <v>3</v>
      </c>
      <c r="AD207" s="13" t="s">
        <v>1258</v>
      </c>
      <c r="AE207" s="19">
        <v>6116162</v>
      </c>
      <c r="AF207" s="36">
        <v>3669697.1999999997</v>
      </c>
    </row>
    <row r="208" spans="1:32" x14ac:dyDescent="0.35">
      <c r="A208" s="34">
        <v>15099600756</v>
      </c>
      <c r="B208" s="13" t="s">
        <v>1268</v>
      </c>
      <c r="C208" s="13">
        <v>97651417698</v>
      </c>
      <c r="D208" s="13" t="s">
        <v>44</v>
      </c>
      <c r="E208" s="67" t="s">
        <v>56</v>
      </c>
      <c r="F208" s="13" t="s">
        <v>269</v>
      </c>
      <c r="G208" s="13" t="s">
        <v>462</v>
      </c>
      <c r="H208" s="13" t="s">
        <v>3</v>
      </c>
      <c r="I208" s="15">
        <v>0.6</v>
      </c>
      <c r="J208" s="16">
        <v>45278</v>
      </c>
      <c r="K208" s="17">
        <f t="shared" si="3"/>
        <v>45826</v>
      </c>
      <c r="L208" s="13" t="s">
        <v>464</v>
      </c>
      <c r="M208" s="17"/>
      <c r="N208" s="17"/>
      <c r="O208" s="13"/>
      <c r="P208" s="18"/>
      <c r="Q208" s="17"/>
      <c r="R208" s="13"/>
      <c r="S208" s="13" t="s">
        <v>677</v>
      </c>
      <c r="T208" s="13" t="s">
        <v>1076</v>
      </c>
      <c r="U208" s="19">
        <v>6116162</v>
      </c>
      <c r="V208" s="20">
        <v>3669697.1999999997</v>
      </c>
      <c r="W208" s="20">
        <v>611616.20000000007</v>
      </c>
      <c r="X208" s="17">
        <v>45614</v>
      </c>
      <c r="Y208" s="13" t="s">
        <v>3</v>
      </c>
      <c r="Z208" s="13" t="s">
        <v>1258</v>
      </c>
      <c r="AA208" s="13" t="s">
        <v>1258</v>
      </c>
      <c r="AB208" s="13" t="s">
        <v>3</v>
      </c>
      <c r="AC208" s="13" t="s">
        <v>3</v>
      </c>
      <c r="AD208" s="13" t="s">
        <v>1259</v>
      </c>
      <c r="AE208" s="19">
        <v>3186835</v>
      </c>
      <c r="AF208" s="36">
        <v>1912101</v>
      </c>
    </row>
    <row r="209" spans="1:32" x14ac:dyDescent="0.35">
      <c r="A209" s="34">
        <v>33656984269</v>
      </c>
      <c r="B209" s="13" t="s">
        <v>1268</v>
      </c>
      <c r="C209" s="13">
        <v>40342685960</v>
      </c>
      <c r="D209" s="13" t="s">
        <v>45</v>
      </c>
      <c r="E209" s="67" t="s">
        <v>53</v>
      </c>
      <c r="F209" s="13" t="s">
        <v>270</v>
      </c>
      <c r="G209" s="13" t="s">
        <v>463</v>
      </c>
      <c r="H209" s="13" t="s">
        <v>4</v>
      </c>
      <c r="I209" s="15">
        <v>0.6</v>
      </c>
      <c r="J209" s="16">
        <v>45010</v>
      </c>
      <c r="K209" s="17">
        <f t="shared" si="3"/>
        <v>45560</v>
      </c>
      <c r="L209" s="13" t="s">
        <v>465</v>
      </c>
      <c r="M209" s="17">
        <v>45077</v>
      </c>
      <c r="N209" s="17">
        <v>45342</v>
      </c>
      <c r="O209" s="13" t="s">
        <v>468</v>
      </c>
      <c r="P209" s="18" t="s">
        <v>469</v>
      </c>
      <c r="Q209" s="17">
        <v>45524</v>
      </c>
      <c r="R209" s="13"/>
      <c r="S209" s="13" t="s">
        <v>678</v>
      </c>
      <c r="T209" s="13" t="s">
        <v>1077</v>
      </c>
      <c r="U209" s="19">
        <v>3186835</v>
      </c>
      <c r="V209" s="20">
        <v>1912101</v>
      </c>
      <c r="W209" s="20">
        <v>318683.5</v>
      </c>
      <c r="X209" s="17">
        <v>45440</v>
      </c>
      <c r="Y209" s="13" t="s">
        <v>4</v>
      </c>
      <c r="Z209" s="13" t="s">
        <v>1258</v>
      </c>
      <c r="AA209" s="13" t="s">
        <v>1258</v>
      </c>
      <c r="AB209" s="13" t="s">
        <v>3</v>
      </c>
      <c r="AC209" s="13" t="s">
        <v>4</v>
      </c>
      <c r="AD209" s="13" t="s">
        <v>1258</v>
      </c>
      <c r="AE209" s="19">
        <v>6579304</v>
      </c>
      <c r="AF209" s="36">
        <v>3947582.4</v>
      </c>
    </row>
    <row r="210" spans="1:32" x14ac:dyDescent="0.35">
      <c r="A210" s="34">
        <v>87137834129</v>
      </c>
      <c r="B210" s="13" t="s">
        <v>1268</v>
      </c>
      <c r="C210" s="13">
        <v>97237704104</v>
      </c>
      <c r="D210" s="13" t="s">
        <v>50</v>
      </c>
      <c r="E210" s="67" t="s">
        <v>56</v>
      </c>
      <c r="F210" s="13" t="s">
        <v>271</v>
      </c>
      <c r="G210" s="13" t="s">
        <v>463</v>
      </c>
      <c r="H210" s="13" t="s">
        <v>3</v>
      </c>
      <c r="I210" s="15">
        <v>0.7</v>
      </c>
      <c r="J210" s="16">
        <v>45000</v>
      </c>
      <c r="K210" s="17">
        <f t="shared" si="3"/>
        <v>45550</v>
      </c>
      <c r="L210" s="13" t="s">
        <v>465</v>
      </c>
      <c r="M210" s="17">
        <v>45103</v>
      </c>
      <c r="N210" s="17">
        <v>45099</v>
      </c>
      <c r="O210" s="13" t="s">
        <v>468</v>
      </c>
      <c r="P210" s="18" t="s">
        <v>469</v>
      </c>
      <c r="Q210" s="17">
        <v>45420</v>
      </c>
      <c r="R210" s="13"/>
      <c r="S210" s="13" t="s">
        <v>679</v>
      </c>
      <c r="T210" s="13" t="s">
        <v>1078</v>
      </c>
      <c r="U210" s="19">
        <v>6579304</v>
      </c>
      <c r="V210" s="20">
        <v>3947582.4</v>
      </c>
      <c r="W210" s="20">
        <v>657930.4</v>
      </c>
      <c r="X210" s="17">
        <v>45381</v>
      </c>
      <c r="Y210" s="13" t="s">
        <v>3</v>
      </c>
      <c r="Z210" s="13" t="s">
        <v>2</v>
      </c>
      <c r="AA210" s="13" t="s">
        <v>2</v>
      </c>
      <c r="AB210" s="13" t="s">
        <v>3</v>
      </c>
      <c r="AC210" s="13" t="s">
        <v>3</v>
      </c>
      <c r="AD210" s="13" t="s">
        <v>1258</v>
      </c>
      <c r="AE210" s="19">
        <v>1614212</v>
      </c>
      <c r="AF210" s="36">
        <v>968527.2</v>
      </c>
    </row>
    <row r="211" spans="1:32" x14ac:dyDescent="0.35">
      <c r="A211" s="34">
        <v>68299446976</v>
      </c>
      <c r="B211" s="13" t="s">
        <v>1268</v>
      </c>
      <c r="C211" s="13">
        <v>41127894653</v>
      </c>
      <c r="D211" s="13" t="s">
        <v>41</v>
      </c>
      <c r="E211" s="67" t="s">
        <v>56</v>
      </c>
      <c r="F211" s="13" t="s">
        <v>272</v>
      </c>
      <c r="G211" s="13" t="s">
        <v>463</v>
      </c>
      <c r="H211" s="13" t="s">
        <v>3</v>
      </c>
      <c r="I211" s="15">
        <v>0.6</v>
      </c>
      <c r="J211" s="16">
        <v>45241</v>
      </c>
      <c r="K211" s="17">
        <f t="shared" si="3"/>
        <v>45788</v>
      </c>
      <c r="L211" s="13" t="s">
        <v>465</v>
      </c>
      <c r="M211" s="17">
        <v>45158</v>
      </c>
      <c r="N211" s="17">
        <v>45284</v>
      </c>
      <c r="O211" s="13" t="s">
        <v>468</v>
      </c>
      <c r="P211" s="18" t="s">
        <v>471</v>
      </c>
      <c r="Q211" s="17">
        <v>45464</v>
      </c>
      <c r="R211" s="13"/>
      <c r="S211" s="13" t="s">
        <v>680</v>
      </c>
      <c r="T211" s="13" t="s">
        <v>977</v>
      </c>
      <c r="U211" s="19">
        <v>1614212</v>
      </c>
      <c r="V211" s="20">
        <v>968527.2</v>
      </c>
      <c r="W211" s="20">
        <v>161421.20000000001</v>
      </c>
      <c r="X211" s="17">
        <v>45550</v>
      </c>
      <c r="Y211" s="13" t="s">
        <v>3</v>
      </c>
      <c r="Z211" s="13" t="s">
        <v>2</v>
      </c>
      <c r="AA211" s="13" t="s">
        <v>2</v>
      </c>
      <c r="AB211" s="13" t="s">
        <v>4</v>
      </c>
      <c r="AC211" s="13" t="s">
        <v>3</v>
      </c>
      <c r="AD211" s="13" t="s">
        <v>1259</v>
      </c>
      <c r="AE211" s="19">
        <v>7752058</v>
      </c>
      <c r="AF211" s="36">
        <v>4651234.8</v>
      </c>
    </row>
    <row r="212" spans="1:32" x14ac:dyDescent="0.35">
      <c r="A212" s="34">
        <v>44013558778</v>
      </c>
      <c r="B212" s="13" t="s">
        <v>1268</v>
      </c>
      <c r="C212" s="13">
        <v>62643572745</v>
      </c>
      <c r="D212" s="13" t="s">
        <v>48</v>
      </c>
      <c r="E212" s="67" t="s">
        <v>60</v>
      </c>
      <c r="F212" s="13" t="s">
        <v>273</v>
      </c>
      <c r="G212" s="13" t="s">
        <v>462</v>
      </c>
      <c r="H212" s="13" t="s">
        <v>4</v>
      </c>
      <c r="I212" s="15">
        <v>0.6</v>
      </c>
      <c r="J212" s="16">
        <v>45201</v>
      </c>
      <c r="K212" s="17">
        <f t="shared" si="3"/>
        <v>45749</v>
      </c>
      <c r="L212" s="13" t="s">
        <v>464</v>
      </c>
      <c r="M212" s="17"/>
      <c r="N212" s="17"/>
      <c r="O212" s="13"/>
      <c r="P212" s="18"/>
      <c r="Q212" s="17"/>
      <c r="R212" s="13"/>
      <c r="S212" s="13" t="s">
        <v>681</v>
      </c>
      <c r="T212" s="13" t="s">
        <v>1079</v>
      </c>
      <c r="U212" s="19">
        <v>7752058</v>
      </c>
      <c r="V212" s="20">
        <v>4651234.8</v>
      </c>
      <c r="W212" s="20">
        <v>775205.8</v>
      </c>
      <c r="X212" s="17">
        <v>45422</v>
      </c>
      <c r="Y212" s="13" t="s">
        <v>4</v>
      </c>
      <c r="Z212" s="13" t="s">
        <v>1258</v>
      </c>
      <c r="AA212" s="13" t="s">
        <v>1258</v>
      </c>
      <c r="AB212" s="13" t="s">
        <v>3</v>
      </c>
      <c r="AC212" s="13" t="s">
        <v>4</v>
      </c>
      <c r="AD212" s="13" t="s">
        <v>1258</v>
      </c>
      <c r="AE212" s="19">
        <v>6951202</v>
      </c>
      <c r="AF212" s="36">
        <v>4170721.1999999997</v>
      </c>
    </row>
    <row r="213" spans="1:32" x14ac:dyDescent="0.35">
      <c r="A213" s="34">
        <v>26013866613</v>
      </c>
      <c r="B213" s="13" t="s">
        <v>1268</v>
      </c>
      <c r="C213" s="13">
        <v>21130398743</v>
      </c>
      <c r="D213" s="13" t="s">
        <v>43</v>
      </c>
      <c r="E213" s="67" t="s">
        <v>51</v>
      </c>
      <c r="F213" s="13" t="s">
        <v>274</v>
      </c>
      <c r="G213" s="13" t="s">
        <v>462</v>
      </c>
      <c r="H213" s="13" t="s">
        <v>3</v>
      </c>
      <c r="I213" s="15">
        <v>0.6</v>
      </c>
      <c r="J213" s="16">
        <v>45047</v>
      </c>
      <c r="K213" s="17">
        <f t="shared" si="3"/>
        <v>45597</v>
      </c>
      <c r="L213" s="13" t="s">
        <v>465</v>
      </c>
      <c r="M213" s="17">
        <v>45087</v>
      </c>
      <c r="N213" s="17">
        <v>45409</v>
      </c>
      <c r="O213" s="13" t="s">
        <v>470</v>
      </c>
      <c r="P213" s="18" t="s">
        <v>469</v>
      </c>
      <c r="Q213" s="17">
        <v>45520</v>
      </c>
      <c r="R213" s="13"/>
      <c r="S213" s="13" t="s">
        <v>682</v>
      </c>
      <c r="T213" s="13" t="s">
        <v>1080</v>
      </c>
      <c r="U213" s="19">
        <v>6951202</v>
      </c>
      <c r="V213" s="20">
        <v>4170721.1999999997</v>
      </c>
      <c r="W213" s="20">
        <v>695120.20000000007</v>
      </c>
      <c r="X213" s="17">
        <v>45535</v>
      </c>
      <c r="Y213" s="13" t="s">
        <v>3</v>
      </c>
      <c r="Z213" s="13" t="s">
        <v>2</v>
      </c>
      <c r="AA213" s="13" t="s">
        <v>2</v>
      </c>
      <c r="AB213" s="13" t="s">
        <v>3</v>
      </c>
      <c r="AC213" s="13" t="s">
        <v>3</v>
      </c>
      <c r="AD213" s="13" t="s">
        <v>1259</v>
      </c>
      <c r="AE213" s="19">
        <v>9331266</v>
      </c>
      <c r="AF213" s="36">
        <v>5598759.5999999996</v>
      </c>
    </row>
    <row r="214" spans="1:32" x14ac:dyDescent="0.35">
      <c r="A214" s="34">
        <v>64505135682</v>
      </c>
      <c r="B214" s="13" t="s">
        <v>1268</v>
      </c>
      <c r="C214" s="13">
        <v>98955657358</v>
      </c>
      <c r="D214" s="13" t="s">
        <v>41</v>
      </c>
      <c r="E214" s="67" t="s">
        <v>51</v>
      </c>
      <c r="F214" s="13" t="s">
        <v>275</v>
      </c>
      <c r="G214" s="13" t="s">
        <v>463</v>
      </c>
      <c r="H214" s="13" t="s">
        <v>4</v>
      </c>
      <c r="I214" s="15">
        <v>0.6</v>
      </c>
      <c r="J214" s="16">
        <v>45060</v>
      </c>
      <c r="K214" s="17">
        <f t="shared" si="3"/>
        <v>45610</v>
      </c>
      <c r="L214" s="13" t="s">
        <v>465</v>
      </c>
      <c r="M214" s="17">
        <v>45135</v>
      </c>
      <c r="N214" s="17">
        <v>45093</v>
      </c>
      <c r="O214" s="13" t="s">
        <v>468</v>
      </c>
      <c r="P214" s="18" t="s">
        <v>469</v>
      </c>
      <c r="Q214" s="17">
        <v>45581</v>
      </c>
      <c r="R214" s="13"/>
      <c r="S214" s="13" t="s">
        <v>683</v>
      </c>
      <c r="T214" s="13" t="s">
        <v>1081</v>
      </c>
      <c r="U214" s="19">
        <v>9331266</v>
      </c>
      <c r="V214" s="20">
        <v>5598759.5999999996</v>
      </c>
      <c r="W214" s="20">
        <v>933126.60000000009</v>
      </c>
      <c r="X214" s="17">
        <v>45626</v>
      </c>
      <c r="Y214" s="13" t="s">
        <v>4</v>
      </c>
      <c r="Z214" s="13" t="s">
        <v>1258</v>
      </c>
      <c r="AA214" s="13" t="s">
        <v>1258</v>
      </c>
      <c r="AB214" s="13" t="s">
        <v>3</v>
      </c>
      <c r="AC214" s="13" t="s">
        <v>4</v>
      </c>
      <c r="AD214" s="13" t="s">
        <v>1259</v>
      </c>
      <c r="AE214" s="19">
        <v>6072496</v>
      </c>
      <c r="AF214" s="36">
        <v>3643497.6</v>
      </c>
    </row>
    <row r="215" spans="1:32" x14ac:dyDescent="0.35">
      <c r="A215" s="34">
        <v>59964610561</v>
      </c>
      <c r="B215" s="13" t="s">
        <v>1268</v>
      </c>
      <c r="C215" s="13">
        <v>14273636562</v>
      </c>
      <c r="D215" s="13" t="s">
        <v>42</v>
      </c>
      <c r="E215" s="67" t="s">
        <v>59</v>
      </c>
      <c r="F215" s="13" t="s">
        <v>276</v>
      </c>
      <c r="G215" s="13" t="s">
        <v>463</v>
      </c>
      <c r="H215" s="13" t="s">
        <v>3</v>
      </c>
      <c r="I215" s="15">
        <v>0.6</v>
      </c>
      <c r="J215" s="16">
        <v>45024</v>
      </c>
      <c r="K215" s="17">
        <f t="shared" si="3"/>
        <v>45573</v>
      </c>
      <c r="L215" s="13" t="s">
        <v>465</v>
      </c>
      <c r="M215" s="17">
        <v>45196</v>
      </c>
      <c r="N215" s="17">
        <v>45280</v>
      </c>
      <c r="O215" s="13" t="s">
        <v>468</v>
      </c>
      <c r="P215" s="18" t="s">
        <v>469</v>
      </c>
      <c r="Q215" s="17">
        <v>45374</v>
      </c>
      <c r="R215" s="13"/>
      <c r="S215" s="13" t="s">
        <v>684</v>
      </c>
      <c r="T215" s="13" t="s">
        <v>1082</v>
      </c>
      <c r="U215" s="19">
        <v>6072496</v>
      </c>
      <c r="V215" s="20">
        <v>3643497.6</v>
      </c>
      <c r="W215" s="20">
        <v>607249.6</v>
      </c>
      <c r="X215" s="17">
        <v>45400</v>
      </c>
      <c r="Y215" s="13" t="s">
        <v>3</v>
      </c>
      <c r="Z215" s="13" t="s">
        <v>2</v>
      </c>
      <c r="AA215" s="13" t="s">
        <v>2</v>
      </c>
      <c r="AB215" s="13" t="s">
        <v>4</v>
      </c>
      <c r="AC215" s="13" t="s">
        <v>3</v>
      </c>
      <c r="AD215" s="13" t="s">
        <v>1258</v>
      </c>
      <c r="AE215" s="19">
        <v>1139581</v>
      </c>
      <c r="AF215" s="36">
        <v>683748.6</v>
      </c>
    </row>
    <row r="216" spans="1:32" x14ac:dyDescent="0.35">
      <c r="A216" s="34">
        <v>29062372615</v>
      </c>
      <c r="B216" s="13" t="s">
        <v>1268</v>
      </c>
      <c r="C216" s="13">
        <v>36470532183</v>
      </c>
      <c r="D216" s="13" t="s">
        <v>43</v>
      </c>
      <c r="E216" s="67" t="s">
        <v>60</v>
      </c>
      <c r="F216" s="13" t="s">
        <v>277</v>
      </c>
      <c r="G216" s="13" t="s">
        <v>462</v>
      </c>
      <c r="H216" s="13" t="s">
        <v>3</v>
      </c>
      <c r="I216" s="15">
        <v>0.7</v>
      </c>
      <c r="J216" s="16">
        <v>45279</v>
      </c>
      <c r="K216" s="17">
        <f t="shared" si="3"/>
        <v>45827</v>
      </c>
      <c r="L216" s="13" t="s">
        <v>464</v>
      </c>
      <c r="M216" s="17"/>
      <c r="N216" s="17"/>
      <c r="O216" s="13"/>
      <c r="P216" s="18"/>
      <c r="Q216" s="17"/>
      <c r="R216" s="13"/>
      <c r="S216" s="13" t="s">
        <v>685</v>
      </c>
      <c r="T216" s="13" t="s">
        <v>1083</v>
      </c>
      <c r="U216" s="19">
        <v>1139581</v>
      </c>
      <c r="V216" s="20">
        <v>683748.6</v>
      </c>
      <c r="W216" s="20">
        <v>113958.1</v>
      </c>
      <c r="X216" s="17">
        <v>45383</v>
      </c>
      <c r="Y216" s="13" t="s">
        <v>3</v>
      </c>
      <c r="Z216" s="13" t="s">
        <v>2</v>
      </c>
      <c r="AA216" s="13" t="s">
        <v>2</v>
      </c>
      <c r="AB216" s="13" t="s">
        <v>3</v>
      </c>
      <c r="AC216" s="13" t="s">
        <v>3</v>
      </c>
      <c r="AD216" s="13" t="s">
        <v>1259</v>
      </c>
      <c r="AE216" s="19">
        <v>9879357</v>
      </c>
      <c r="AF216" s="36">
        <v>5927614.2000000002</v>
      </c>
    </row>
    <row r="217" spans="1:32" x14ac:dyDescent="0.35">
      <c r="A217" s="34">
        <v>17911198804</v>
      </c>
      <c r="B217" s="13" t="s">
        <v>1268</v>
      </c>
      <c r="C217" s="13">
        <v>90212591600</v>
      </c>
      <c r="D217" s="13" t="s">
        <v>46</v>
      </c>
      <c r="E217" s="67" t="s">
        <v>57</v>
      </c>
      <c r="F217" s="13" t="s">
        <v>278</v>
      </c>
      <c r="G217" s="13" t="s">
        <v>463</v>
      </c>
      <c r="H217" s="13" t="s">
        <v>4</v>
      </c>
      <c r="I217" s="15">
        <v>0.7</v>
      </c>
      <c r="J217" s="16">
        <v>45227</v>
      </c>
      <c r="K217" s="17">
        <f t="shared" si="3"/>
        <v>45775</v>
      </c>
      <c r="L217" s="13" t="s">
        <v>465</v>
      </c>
      <c r="M217" s="17">
        <v>45216</v>
      </c>
      <c r="N217" s="17">
        <v>45361</v>
      </c>
      <c r="O217" s="13" t="s">
        <v>470</v>
      </c>
      <c r="P217" s="18" t="s">
        <v>471</v>
      </c>
      <c r="Q217" s="17">
        <v>45370</v>
      </c>
      <c r="R217" s="13"/>
      <c r="S217" s="13" t="s">
        <v>686</v>
      </c>
      <c r="T217" s="13" t="s">
        <v>1084</v>
      </c>
      <c r="U217" s="19">
        <v>9879357</v>
      </c>
      <c r="V217" s="20">
        <v>5927614.2000000002</v>
      </c>
      <c r="W217" s="20">
        <v>987935.70000000007</v>
      </c>
      <c r="X217" s="17">
        <v>45493</v>
      </c>
      <c r="Y217" s="13" t="s">
        <v>4</v>
      </c>
      <c r="Z217" s="13" t="s">
        <v>2</v>
      </c>
      <c r="AA217" s="13" t="s">
        <v>2</v>
      </c>
      <c r="AB217" s="13" t="s">
        <v>4</v>
      </c>
      <c r="AC217" s="13" t="s">
        <v>4</v>
      </c>
      <c r="AD217" s="13" t="s">
        <v>1258</v>
      </c>
      <c r="AE217" s="19">
        <v>5909920</v>
      </c>
      <c r="AF217" s="36">
        <v>3545952</v>
      </c>
    </row>
    <row r="218" spans="1:32" x14ac:dyDescent="0.35">
      <c r="A218" s="34">
        <v>76448087285</v>
      </c>
      <c r="B218" s="13" t="s">
        <v>1268</v>
      </c>
      <c r="C218" s="13">
        <v>63184118880</v>
      </c>
      <c r="D218" s="13" t="s">
        <v>50</v>
      </c>
      <c r="E218" s="67" t="s">
        <v>54</v>
      </c>
      <c r="F218" s="13" t="s">
        <v>279</v>
      </c>
      <c r="G218" s="13" t="s">
        <v>463</v>
      </c>
      <c r="H218" s="13" t="s">
        <v>4</v>
      </c>
      <c r="I218" s="15">
        <v>0.6</v>
      </c>
      <c r="J218" s="16">
        <v>44979</v>
      </c>
      <c r="K218" s="17">
        <f t="shared" si="3"/>
        <v>45526</v>
      </c>
      <c r="L218" s="13" t="s">
        <v>464</v>
      </c>
      <c r="M218" s="17"/>
      <c r="N218" s="17"/>
      <c r="O218" s="13"/>
      <c r="P218" s="18"/>
      <c r="Q218" s="17"/>
      <c r="R218" s="13"/>
      <c r="S218" s="13" t="s">
        <v>687</v>
      </c>
      <c r="T218" s="13" t="s">
        <v>1085</v>
      </c>
      <c r="U218" s="19">
        <v>5909920</v>
      </c>
      <c r="V218" s="20">
        <v>3545952</v>
      </c>
      <c r="W218" s="20">
        <v>590992</v>
      </c>
      <c r="X218" s="17">
        <v>45305</v>
      </c>
      <c r="Y218" s="13" t="s">
        <v>4</v>
      </c>
      <c r="Z218" s="13" t="s">
        <v>1258</v>
      </c>
      <c r="AA218" s="13" t="s">
        <v>1258</v>
      </c>
      <c r="AB218" s="13" t="s">
        <v>4</v>
      </c>
      <c r="AC218" s="13" t="s">
        <v>4</v>
      </c>
      <c r="AD218" s="13" t="s">
        <v>1258</v>
      </c>
      <c r="AE218" s="19">
        <v>6713885</v>
      </c>
      <c r="AF218" s="36">
        <v>4028331</v>
      </c>
    </row>
    <row r="219" spans="1:32" x14ac:dyDescent="0.35">
      <c r="A219" s="34">
        <v>31437196598</v>
      </c>
      <c r="B219" s="13" t="s">
        <v>1268</v>
      </c>
      <c r="C219" s="13">
        <v>16809166189</v>
      </c>
      <c r="D219" s="13" t="s">
        <v>44</v>
      </c>
      <c r="E219" s="67" t="s">
        <v>54</v>
      </c>
      <c r="F219" s="13" t="s">
        <v>280</v>
      </c>
      <c r="G219" s="13" t="s">
        <v>462</v>
      </c>
      <c r="H219" s="13" t="s">
        <v>4</v>
      </c>
      <c r="I219" s="15">
        <v>0.7</v>
      </c>
      <c r="J219" s="16">
        <v>45018</v>
      </c>
      <c r="K219" s="17">
        <f t="shared" si="3"/>
        <v>45567</v>
      </c>
      <c r="L219" s="13" t="s">
        <v>465</v>
      </c>
      <c r="M219" s="17">
        <v>45102</v>
      </c>
      <c r="N219" s="17">
        <v>45289</v>
      </c>
      <c r="O219" s="13" t="s">
        <v>470</v>
      </c>
      <c r="P219" s="18" t="s">
        <v>471</v>
      </c>
      <c r="Q219" s="17">
        <v>45338</v>
      </c>
      <c r="R219" s="13"/>
      <c r="S219" s="13" t="s">
        <v>688</v>
      </c>
      <c r="T219" s="13" t="s">
        <v>1086</v>
      </c>
      <c r="U219" s="19">
        <v>6713885</v>
      </c>
      <c r="V219" s="20">
        <v>4028331</v>
      </c>
      <c r="W219" s="20">
        <v>671388.5</v>
      </c>
      <c r="X219" s="17">
        <v>45503</v>
      </c>
      <c r="Y219" s="13" t="s">
        <v>4</v>
      </c>
      <c r="Z219" s="13" t="s">
        <v>1258</v>
      </c>
      <c r="AA219" s="13" t="s">
        <v>1258</v>
      </c>
      <c r="AB219" s="13" t="s">
        <v>3</v>
      </c>
      <c r="AC219" s="13" t="s">
        <v>4</v>
      </c>
      <c r="AD219" s="13" t="s">
        <v>1259</v>
      </c>
      <c r="AE219" s="19">
        <v>3891325</v>
      </c>
      <c r="AF219" s="36">
        <v>2334795</v>
      </c>
    </row>
    <row r="220" spans="1:32" x14ac:dyDescent="0.35">
      <c r="A220" s="34">
        <v>85976074010</v>
      </c>
      <c r="B220" s="13" t="s">
        <v>1268</v>
      </c>
      <c r="C220" s="13">
        <v>11525527705</v>
      </c>
      <c r="D220" s="13" t="s">
        <v>49</v>
      </c>
      <c r="E220" s="67" t="s">
        <v>54</v>
      </c>
      <c r="F220" s="13" t="s">
        <v>281</v>
      </c>
      <c r="G220" s="13" t="s">
        <v>463</v>
      </c>
      <c r="H220" s="13" t="s">
        <v>4</v>
      </c>
      <c r="I220" s="15">
        <v>0.6</v>
      </c>
      <c r="J220" s="16">
        <v>44939</v>
      </c>
      <c r="K220" s="17">
        <f t="shared" si="3"/>
        <v>45486</v>
      </c>
      <c r="L220" s="13" t="s">
        <v>464</v>
      </c>
      <c r="M220" s="17"/>
      <c r="N220" s="17"/>
      <c r="O220" s="13"/>
      <c r="P220" s="18"/>
      <c r="Q220" s="17"/>
      <c r="R220" s="13"/>
      <c r="S220" s="13" t="s">
        <v>689</v>
      </c>
      <c r="T220" s="13" t="s">
        <v>1087</v>
      </c>
      <c r="U220" s="19">
        <v>3891325</v>
      </c>
      <c r="V220" s="20">
        <v>2334795</v>
      </c>
      <c r="W220" s="20">
        <v>389132.5</v>
      </c>
      <c r="X220" s="17">
        <v>45649</v>
      </c>
      <c r="Y220" s="13" t="s">
        <v>4</v>
      </c>
      <c r="Z220" s="13" t="s">
        <v>1258</v>
      </c>
      <c r="AA220" s="13" t="s">
        <v>1258</v>
      </c>
      <c r="AB220" s="13" t="s">
        <v>4</v>
      </c>
      <c r="AC220" s="13" t="s">
        <v>4</v>
      </c>
      <c r="AD220" s="13" t="s">
        <v>1258</v>
      </c>
      <c r="AE220" s="19">
        <v>1979927</v>
      </c>
      <c r="AF220" s="36">
        <v>1187956.2</v>
      </c>
    </row>
    <row r="221" spans="1:32" x14ac:dyDescent="0.35">
      <c r="A221" s="34">
        <v>67215980781</v>
      </c>
      <c r="B221" s="13" t="s">
        <v>1268</v>
      </c>
      <c r="C221" s="13">
        <v>84675798245</v>
      </c>
      <c r="D221" s="13" t="s">
        <v>49</v>
      </c>
      <c r="E221" s="67" t="s">
        <v>58</v>
      </c>
      <c r="F221" s="13" t="s">
        <v>282</v>
      </c>
      <c r="G221" s="13" t="s">
        <v>462</v>
      </c>
      <c r="H221" s="13" t="s">
        <v>4</v>
      </c>
      <c r="I221" s="15">
        <v>0.7</v>
      </c>
      <c r="J221" s="16">
        <v>44963</v>
      </c>
      <c r="K221" s="17">
        <f t="shared" si="3"/>
        <v>45510</v>
      </c>
      <c r="L221" s="13" t="s">
        <v>464</v>
      </c>
      <c r="M221" s="17"/>
      <c r="N221" s="17"/>
      <c r="O221" s="13"/>
      <c r="P221" s="18"/>
      <c r="Q221" s="17"/>
      <c r="R221" s="13"/>
      <c r="S221" s="13" t="s">
        <v>690</v>
      </c>
      <c r="T221" s="13" t="s">
        <v>1088</v>
      </c>
      <c r="U221" s="19">
        <v>1979927</v>
      </c>
      <c r="V221" s="20">
        <v>1187956.2</v>
      </c>
      <c r="W221" s="20">
        <v>197992.7</v>
      </c>
      <c r="X221" s="17">
        <v>45503</v>
      </c>
      <c r="Y221" s="13" t="s">
        <v>4</v>
      </c>
      <c r="Z221" s="13" t="s">
        <v>1258</v>
      </c>
      <c r="AA221" s="13" t="s">
        <v>1258</v>
      </c>
      <c r="AB221" s="13" t="s">
        <v>4</v>
      </c>
      <c r="AC221" s="13" t="s">
        <v>4</v>
      </c>
      <c r="AD221" s="13" t="s">
        <v>1259</v>
      </c>
      <c r="AE221" s="19">
        <v>6673115</v>
      </c>
      <c r="AF221" s="36">
        <v>4003869</v>
      </c>
    </row>
    <row r="222" spans="1:32" x14ac:dyDescent="0.35">
      <c r="A222" s="34">
        <v>64061015189</v>
      </c>
      <c r="B222" s="13" t="s">
        <v>1268</v>
      </c>
      <c r="C222" s="13">
        <v>69898928952</v>
      </c>
      <c r="D222" s="13" t="s">
        <v>42</v>
      </c>
      <c r="E222" s="67" t="s">
        <v>60</v>
      </c>
      <c r="F222" s="13" t="s">
        <v>283</v>
      </c>
      <c r="G222" s="13" t="s">
        <v>463</v>
      </c>
      <c r="H222" s="13" t="s">
        <v>4</v>
      </c>
      <c r="I222" s="15">
        <v>0.6</v>
      </c>
      <c r="J222" s="16">
        <v>45138</v>
      </c>
      <c r="K222" s="17">
        <f t="shared" si="3"/>
        <v>45688</v>
      </c>
      <c r="L222" s="13" t="s">
        <v>465</v>
      </c>
      <c r="M222" s="17">
        <v>45062</v>
      </c>
      <c r="N222" s="17">
        <v>45352</v>
      </c>
      <c r="O222" s="13" t="s">
        <v>470</v>
      </c>
      <c r="P222" s="18" t="s">
        <v>469</v>
      </c>
      <c r="Q222" s="17">
        <v>45317</v>
      </c>
      <c r="R222" s="13"/>
      <c r="S222" s="13" t="s">
        <v>691</v>
      </c>
      <c r="T222" s="13" t="s">
        <v>1089</v>
      </c>
      <c r="U222" s="19">
        <v>6673115</v>
      </c>
      <c r="V222" s="20">
        <v>4003869</v>
      </c>
      <c r="W222" s="20">
        <v>667311.5</v>
      </c>
      <c r="X222" s="17">
        <v>45648</v>
      </c>
      <c r="Y222" s="13" t="s">
        <v>4</v>
      </c>
      <c r="Z222" s="13" t="s">
        <v>1258</v>
      </c>
      <c r="AA222" s="13" t="s">
        <v>1258</v>
      </c>
      <c r="AB222" s="13" t="s">
        <v>3</v>
      </c>
      <c r="AC222" s="13" t="s">
        <v>4</v>
      </c>
      <c r="AD222" s="13" t="s">
        <v>1258</v>
      </c>
      <c r="AE222" s="19">
        <v>8361015</v>
      </c>
      <c r="AF222" s="36">
        <v>5016609</v>
      </c>
    </row>
    <row r="223" spans="1:32" x14ac:dyDescent="0.35">
      <c r="A223" s="34">
        <v>75979972725</v>
      </c>
      <c r="B223" s="13" t="s">
        <v>1268</v>
      </c>
      <c r="C223" s="13">
        <v>83679210521</v>
      </c>
      <c r="D223" s="13" t="s">
        <v>42</v>
      </c>
      <c r="E223" s="67" t="s">
        <v>55</v>
      </c>
      <c r="F223" s="13" t="s">
        <v>284</v>
      </c>
      <c r="G223" s="13" t="s">
        <v>462</v>
      </c>
      <c r="H223" s="13" t="s">
        <v>4</v>
      </c>
      <c r="I223" s="15">
        <v>0.6</v>
      </c>
      <c r="J223" s="16">
        <v>44966</v>
      </c>
      <c r="K223" s="17">
        <f t="shared" si="3"/>
        <v>45513</v>
      </c>
      <c r="L223" s="13" t="s">
        <v>465</v>
      </c>
      <c r="M223" s="17">
        <v>44933</v>
      </c>
      <c r="N223" s="17">
        <v>44990</v>
      </c>
      <c r="O223" s="13" t="s">
        <v>470</v>
      </c>
      <c r="P223" s="18" t="s">
        <v>469</v>
      </c>
      <c r="Q223" s="17">
        <v>45594</v>
      </c>
      <c r="R223" s="13"/>
      <c r="S223" s="13" t="s">
        <v>692</v>
      </c>
      <c r="T223" s="13" t="s">
        <v>1090</v>
      </c>
      <c r="U223" s="19">
        <v>8361015</v>
      </c>
      <c r="V223" s="20">
        <v>5016609</v>
      </c>
      <c r="W223" s="20">
        <v>836101.5</v>
      </c>
      <c r="X223" s="17">
        <v>45415</v>
      </c>
      <c r="Y223" s="13" t="s">
        <v>4</v>
      </c>
      <c r="Z223" s="13" t="s">
        <v>2</v>
      </c>
      <c r="AA223" s="13" t="s">
        <v>2</v>
      </c>
      <c r="AB223" s="13" t="s">
        <v>3</v>
      </c>
      <c r="AC223" s="13" t="s">
        <v>4</v>
      </c>
      <c r="AD223" s="13" t="s">
        <v>1258</v>
      </c>
      <c r="AE223" s="19">
        <v>7753436</v>
      </c>
      <c r="AF223" s="36">
        <v>4652061.5999999996</v>
      </c>
    </row>
    <row r="224" spans="1:32" x14ac:dyDescent="0.35">
      <c r="A224" s="34">
        <v>69499410542</v>
      </c>
      <c r="B224" s="13" t="s">
        <v>1268</v>
      </c>
      <c r="C224" s="13">
        <v>45010114278</v>
      </c>
      <c r="D224" s="13" t="s">
        <v>46</v>
      </c>
      <c r="E224" s="67" t="s">
        <v>52</v>
      </c>
      <c r="F224" s="13" t="s">
        <v>285</v>
      </c>
      <c r="G224" s="13" t="s">
        <v>462</v>
      </c>
      <c r="H224" s="13" t="s">
        <v>3</v>
      </c>
      <c r="I224" s="15">
        <v>0.7</v>
      </c>
      <c r="J224" s="16">
        <v>45072</v>
      </c>
      <c r="K224" s="17">
        <f t="shared" si="3"/>
        <v>45622</v>
      </c>
      <c r="L224" s="13" t="s">
        <v>464</v>
      </c>
      <c r="M224" s="17"/>
      <c r="N224" s="17"/>
      <c r="O224" s="13"/>
      <c r="P224" s="18"/>
      <c r="Q224" s="17"/>
      <c r="R224" s="13"/>
      <c r="S224" s="13" t="s">
        <v>693</v>
      </c>
      <c r="T224" s="13" t="s">
        <v>1091</v>
      </c>
      <c r="U224" s="19">
        <v>7753436</v>
      </c>
      <c r="V224" s="20">
        <v>4652061.5999999996</v>
      </c>
      <c r="W224" s="20">
        <v>775343.60000000009</v>
      </c>
      <c r="X224" s="17">
        <v>45395</v>
      </c>
      <c r="Y224" s="13" t="s">
        <v>3</v>
      </c>
      <c r="Z224" s="13" t="s">
        <v>1258</v>
      </c>
      <c r="AA224" s="13" t="s">
        <v>1258</v>
      </c>
      <c r="AB224" s="13" t="s">
        <v>4</v>
      </c>
      <c r="AC224" s="13" t="s">
        <v>3</v>
      </c>
      <c r="AD224" s="13" t="s">
        <v>1258</v>
      </c>
      <c r="AE224" s="19">
        <v>1411028</v>
      </c>
      <c r="AF224" s="36">
        <v>846616.79999999993</v>
      </c>
    </row>
    <row r="225" spans="1:32" x14ac:dyDescent="0.35">
      <c r="A225" s="34">
        <v>81631435041</v>
      </c>
      <c r="B225" s="13" t="s">
        <v>1268</v>
      </c>
      <c r="C225" s="13">
        <v>36162034301</v>
      </c>
      <c r="D225" s="13" t="s">
        <v>41</v>
      </c>
      <c r="E225" s="67" t="s">
        <v>53</v>
      </c>
      <c r="F225" s="13" t="s">
        <v>286</v>
      </c>
      <c r="G225" s="13" t="s">
        <v>462</v>
      </c>
      <c r="H225" s="13" t="s">
        <v>3</v>
      </c>
      <c r="I225" s="15">
        <v>0.6</v>
      </c>
      <c r="J225" s="16">
        <v>45109</v>
      </c>
      <c r="K225" s="17">
        <f t="shared" si="3"/>
        <v>45659</v>
      </c>
      <c r="L225" s="13" t="s">
        <v>464</v>
      </c>
      <c r="M225" s="17"/>
      <c r="N225" s="17"/>
      <c r="O225" s="13"/>
      <c r="P225" s="18"/>
      <c r="Q225" s="17"/>
      <c r="R225" s="13"/>
      <c r="S225" s="13" t="s">
        <v>694</v>
      </c>
      <c r="T225" s="13" t="s">
        <v>1092</v>
      </c>
      <c r="U225" s="19">
        <v>1411028</v>
      </c>
      <c r="V225" s="20">
        <v>846616.79999999993</v>
      </c>
      <c r="W225" s="20">
        <v>141102.80000000002</v>
      </c>
      <c r="X225" s="17">
        <v>45472</v>
      </c>
      <c r="Y225" s="13" t="s">
        <v>3</v>
      </c>
      <c r="Z225" s="13" t="s">
        <v>1258</v>
      </c>
      <c r="AA225" s="13" t="s">
        <v>1258</v>
      </c>
      <c r="AB225" s="13" t="s">
        <v>3</v>
      </c>
      <c r="AC225" s="13" t="s">
        <v>3</v>
      </c>
      <c r="AD225" s="13" t="s">
        <v>1258</v>
      </c>
      <c r="AE225" s="19">
        <v>8930982</v>
      </c>
      <c r="AF225" s="36">
        <v>5358589.2</v>
      </c>
    </row>
    <row r="226" spans="1:32" x14ac:dyDescent="0.35">
      <c r="A226" s="34">
        <v>56144684129</v>
      </c>
      <c r="B226" s="13" t="s">
        <v>1268</v>
      </c>
      <c r="C226" s="13">
        <v>40539599832</v>
      </c>
      <c r="D226" s="13" t="s">
        <v>42</v>
      </c>
      <c r="E226" s="67" t="s">
        <v>60</v>
      </c>
      <c r="F226" s="13" t="s">
        <v>287</v>
      </c>
      <c r="G226" s="13" t="s">
        <v>463</v>
      </c>
      <c r="H226" s="13" t="s">
        <v>4</v>
      </c>
      <c r="I226" s="15">
        <v>0.7</v>
      </c>
      <c r="J226" s="16">
        <v>45082</v>
      </c>
      <c r="K226" s="17">
        <f t="shared" si="3"/>
        <v>45631</v>
      </c>
      <c r="L226" s="13" t="s">
        <v>464</v>
      </c>
      <c r="M226" s="17"/>
      <c r="N226" s="17"/>
      <c r="O226" s="13"/>
      <c r="P226" s="18"/>
      <c r="Q226" s="17"/>
      <c r="R226" s="13"/>
      <c r="S226" s="13" t="s">
        <v>695</v>
      </c>
      <c r="T226" s="13" t="s">
        <v>1093</v>
      </c>
      <c r="U226" s="19">
        <v>8930982</v>
      </c>
      <c r="V226" s="20">
        <v>5358589.2</v>
      </c>
      <c r="W226" s="20">
        <v>893098.20000000007</v>
      </c>
      <c r="X226" s="17">
        <v>45363</v>
      </c>
      <c r="Y226" s="13" t="s">
        <v>4</v>
      </c>
      <c r="Z226" s="13" t="s">
        <v>2</v>
      </c>
      <c r="AA226" s="13" t="s">
        <v>2</v>
      </c>
      <c r="AB226" s="13" t="s">
        <v>3</v>
      </c>
      <c r="AC226" s="13" t="s">
        <v>4</v>
      </c>
      <c r="AD226" s="13" t="s">
        <v>1258</v>
      </c>
      <c r="AE226" s="19">
        <v>7168738</v>
      </c>
      <c r="AF226" s="36">
        <v>4301242.8</v>
      </c>
    </row>
    <row r="227" spans="1:32" x14ac:dyDescent="0.35">
      <c r="A227" s="34">
        <v>73913439204</v>
      </c>
      <c r="B227" s="13" t="s">
        <v>1268</v>
      </c>
      <c r="C227" s="13">
        <v>98290091927</v>
      </c>
      <c r="D227" s="13" t="s">
        <v>46</v>
      </c>
      <c r="E227" s="67" t="s">
        <v>51</v>
      </c>
      <c r="F227" s="13" t="s">
        <v>288</v>
      </c>
      <c r="G227" s="13" t="s">
        <v>462</v>
      </c>
      <c r="H227" s="13" t="s">
        <v>4</v>
      </c>
      <c r="I227" s="15">
        <v>0.6</v>
      </c>
      <c r="J227" s="16">
        <v>45127</v>
      </c>
      <c r="K227" s="17">
        <f t="shared" si="3"/>
        <v>45677</v>
      </c>
      <c r="L227" s="13" t="s">
        <v>465</v>
      </c>
      <c r="M227" s="17">
        <v>45232</v>
      </c>
      <c r="N227" s="17">
        <v>45171</v>
      </c>
      <c r="O227" s="13" t="s">
        <v>470</v>
      </c>
      <c r="P227" s="18" t="s">
        <v>469</v>
      </c>
      <c r="Q227" s="17">
        <v>45646</v>
      </c>
      <c r="R227" s="13"/>
      <c r="S227" s="13" t="s">
        <v>696</v>
      </c>
      <c r="T227" s="13" t="s">
        <v>1094</v>
      </c>
      <c r="U227" s="19">
        <v>7168738</v>
      </c>
      <c r="V227" s="20">
        <v>4301242.8</v>
      </c>
      <c r="W227" s="20">
        <v>716873.8</v>
      </c>
      <c r="X227" s="17">
        <v>45541</v>
      </c>
      <c r="Y227" s="13" t="s">
        <v>4</v>
      </c>
      <c r="Z227" s="13" t="s">
        <v>1258</v>
      </c>
      <c r="AA227" s="13" t="s">
        <v>1258</v>
      </c>
      <c r="AB227" s="13" t="s">
        <v>3</v>
      </c>
      <c r="AC227" s="13" t="s">
        <v>4</v>
      </c>
      <c r="AD227" s="13" t="s">
        <v>1259</v>
      </c>
      <c r="AE227" s="19">
        <v>4362247</v>
      </c>
      <c r="AF227" s="36">
        <v>2617348.1999999997</v>
      </c>
    </row>
    <row r="228" spans="1:32" x14ac:dyDescent="0.35">
      <c r="A228" s="34">
        <v>41058088598</v>
      </c>
      <c r="B228" s="13" t="s">
        <v>1268</v>
      </c>
      <c r="C228" s="13">
        <v>86793401882</v>
      </c>
      <c r="D228" s="13" t="s">
        <v>42</v>
      </c>
      <c r="E228" s="67" t="s">
        <v>57</v>
      </c>
      <c r="F228" s="13" t="s">
        <v>289</v>
      </c>
      <c r="G228" s="13" t="s">
        <v>462</v>
      </c>
      <c r="H228" s="13" t="s">
        <v>4</v>
      </c>
      <c r="I228" s="15">
        <v>0.6</v>
      </c>
      <c r="J228" s="16">
        <v>45043</v>
      </c>
      <c r="K228" s="17">
        <f t="shared" si="3"/>
        <v>45592</v>
      </c>
      <c r="L228" s="13" t="s">
        <v>465</v>
      </c>
      <c r="M228" s="17">
        <v>44932</v>
      </c>
      <c r="N228" s="17">
        <v>45138</v>
      </c>
      <c r="O228" s="13" t="s">
        <v>470</v>
      </c>
      <c r="P228" s="18" t="s">
        <v>471</v>
      </c>
      <c r="Q228" s="17">
        <v>45646</v>
      </c>
      <c r="R228" s="13"/>
      <c r="S228" s="13" t="s">
        <v>697</v>
      </c>
      <c r="T228" s="13" t="s">
        <v>1095</v>
      </c>
      <c r="U228" s="19">
        <v>4362247</v>
      </c>
      <c r="V228" s="20">
        <v>2617348.1999999997</v>
      </c>
      <c r="W228" s="20">
        <v>436224.7</v>
      </c>
      <c r="X228" s="17">
        <v>45550</v>
      </c>
      <c r="Y228" s="13" t="s">
        <v>4</v>
      </c>
      <c r="Z228" s="13" t="s">
        <v>1258</v>
      </c>
      <c r="AA228" s="13" t="s">
        <v>1258</v>
      </c>
      <c r="AB228" s="13" t="s">
        <v>3</v>
      </c>
      <c r="AC228" s="13" t="s">
        <v>4</v>
      </c>
      <c r="AD228" s="13" t="s">
        <v>1259</v>
      </c>
      <c r="AE228" s="19">
        <v>9488925</v>
      </c>
      <c r="AF228" s="36">
        <v>5693355</v>
      </c>
    </row>
    <row r="229" spans="1:32" x14ac:dyDescent="0.35">
      <c r="A229" s="34">
        <v>91417573901</v>
      </c>
      <c r="B229" s="13" t="s">
        <v>1268</v>
      </c>
      <c r="C229" s="13">
        <v>73651522660</v>
      </c>
      <c r="D229" s="13" t="s">
        <v>45</v>
      </c>
      <c r="E229" s="67" t="s">
        <v>59</v>
      </c>
      <c r="F229" s="13" t="s">
        <v>290</v>
      </c>
      <c r="G229" s="13" t="s">
        <v>463</v>
      </c>
      <c r="H229" s="13" t="s">
        <v>3</v>
      </c>
      <c r="I229" s="15">
        <v>0.5</v>
      </c>
      <c r="J229" s="16">
        <v>45157</v>
      </c>
      <c r="K229" s="17">
        <f t="shared" si="3"/>
        <v>45707</v>
      </c>
      <c r="L229" s="13" t="s">
        <v>464</v>
      </c>
      <c r="M229" s="17"/>
      <c r="N229" s="17"/>
      <c r="O229" s="13"/>
      <c r="P229" s="18"/>
      <c r="Q229" s="17"/>
      <c r="R229" s="13"/>
      <c r="S229" s="13" t="s">
        <v>698</v>
      </c>
      <c r="T229" s="13" t="s">
        <v>1096</v>
      </c>
      <c r="U229" s="19">
        <v>9488925</v>
      </c>
      <c r="V229" s="20">
        <v>5693355</v>
      </c>
      <c r="W229" s="20">
        <v>948892.5</v>
      </c>
      <c r="X229" s="17">
        <v>45550</v>
      </c>
      <c r="Y229" s="13" t="s">
        <v>3</v>
      </c>
      <c r="Z229" s="13" t="s">
        <v>2</v>
      </c>
      <c r="AA229" s="13" t="s">
        <v>2</v>
      </c>
      <c r="AB229" s="13" t="s">
        <v>4</v>
      </c>
      <c r="AC229" s="13" t="s">
        <v>3</v>
      </c>
      <c r="AD229" s="13" t="s">
        <v>1259</v>
      </c>
      <c r="AE229" s="19">
        <v>9698711</v>
      </c>
      <c r="AF229" s="36">
        <v>5819226.5999999996</v>
      </c>
    </row>
    <row r="230" spans="1:32" x14ac:dyDescent="0.35">
      <c r="A230" s="34">
        <v>27009664778</v>
      </c>
      <c r="B230" s="13" t="s">
        <v>1268</v>
      </c>
      <c r="C230" s="13">
        <v>76150741397</v>
      </c>
      <c r="D230" s="13" t="s">
        <v>41</v>
      </c>
      <c r="E230" s="67" t="s">
        <v>51</v>
      </c>
      <c r="F230" s="13" t="s">
        <v>291</v>
      </c>
      <c r="G230" s="13" t="s">
        <v>463</v>
      </c>
      <c r="H230" s="13" t="s">
        <v>4</v>
      </c>
      <c r="I230" s="15">
        <v>0.6</v>
      </c>
      <c r="J230" s="16">
        <v>45153</v>
      </c>
      <c r="K230" s="17">
        <f t="shared" si="3"/>
        <v>45703</v>
      </c>
      <c r="L230" s="13" t="s">
        <v>465</v>
      </c>
      <c r="M230" s="17">
        <v>45010</v>
      </c>
      <c r="N230" s="17">
        <v>45197</v>
      </c>
      <c r="O230" s="13" t="s">
        <v>468</v>
      </c>
      <c r="P230" s="18" t="s">
        <v>469</v>
      </c>
      <c r="Q230" s="17">
        <v>45600</v>
      </c>
      <c r="R230" s="13"/>
      <c r="S230" s="13" t="s">
        <v>699</v>
      </c>
      <c r="T230" s="13" t="s">
        <v>1097</v>
      </c>
      <c r="U230" s="19">
        <v>9698711</v>
      </c>
      <c r="V230" s="20">
        <v>5819226.5999999996</v>
      </c>
      <c r="W230" s="20">
        <v>969871.10000000009</v>
      </c>
      <c r="X230" s="17">
        <v>45356</v>
      </c>
      <c r="Y230" s="13" t="s">
        <v>4</v>
      </c>
      <c r="Z230" s="13" t="s">
        <v>1258</v>
      </c>
      <c r="AA230" s="13" t="s">
        <v>1258</v>
      </c>
      <c r="AB230" s="13" t="s">
        <v>4</v>
      </c>
      <c r="AC230" s="13" t="s">
        <v>4</v>
      </c>
      <c r="AD230" s="13" t="s">
        <v>1258</v>
      </c>
      <c r="AE230" s="19">
        <v>2044334</v>
      </c>
      <c r="AF230" s="36">
        <v>1226600.3999999999</v>
      </c>
    </row>
    <row r="231" spans="1:32" x14ac:dyDescent="0.35">
      <c r="A231" s="34">
        <v>43372224814</v>
      </c>
      <c r="B231" s="13" t="s">
        <v>1268</v>
      </c>
      <c r="C231" s="13">
        <v>90727278917</v>
      </c>
      <c r="D231" s="13" t="s">
        <v>47</v>
      </c>
      <c r="E231" s="67" t="s">
        <v>53</v>
      </c>
      <c r="F231" s="13" t="s">
        <v>292</v>
      </c>
      <c r="G231" s="13" t="s">
        <v>462</v>
      </c>
      <c r="H231" s="13" t="s">
        <v>4</v>
      </c>
      <c r="I231" s="15">
        <v>0.5</v>
      </c>
      <c r="J231" s="16">
        <v>45129</v>
      </c>
      <c r="K231" s="17">
        <f t="shared" si="3"/>
        <v>45679</v>
      </c>
      <c r="L231" s="13" t="s">
        <v>464</v>
      </c>
      <c r="M231" s="17"/>
      <c r="N231" s="17"/>
      <c r="O231" s="13"/>
      <c r="P231" s="18"/>
      <c r="Q231" s="17"/>
      <c r="R231" s="13"/>
      <c r="S231" s="13" t="s">
        <v>700</v>
      </c>
      <c r="T231" s="13" t="s">
        <v>1098</v>
      </c>
      <c r="U231" s="19">
        <v>2044334</v>
      </c>
      <c r="V231" s="20">
        <v>1226600.3999999999</v>
      </c>
      <c r="W231" s="20">
        <v>204433.40000000002</v>
      </c>
      <c r="X231" s="17">
        <v>45447</v>
      </c>
      <c r="Y231" s="13" t="s">
        <v>4</v>
      </c>
      <c r="Z231" s="13" t="s">
        <v>1258</v>
      </c>
      <c r="AA231" s="13" t="s">
        <v>1258</v>
      </c>
      <c r="AB231" s="13" t="s">
        <v>4</v>
      </c>
      <c r="AC231" s="13" t="s">
        <v>4</v>
      </c>
      <c r="AD231" s="13" t="s">
        <v>1259</v>
      </c>
      <c r="AE231" s="19">
        <v>3846230</v>
      </c>
      <c r="AF231" s="36">
        <v>2307738</v>
      </c>
    </row>
    <row r="232" spans="1:32" x14ac:dyDescent="0.35">
      <c r="A232" s="34">
        <v>51147135309</v>
      </c>
      <c r="B232" s="13" t="s">
        <v>1268</v>
      </c>
      <c r="C232" s="13">
        <v>98328291903</v>
      </c>
      <c r="D232" s="13" t="s">
        <v>46</v>
      </c>
      <c r="E232" s="67" t="s">
        <v>54</v>
      </c>
      <c r="F232" s="13" t="s">
        <v>293</v>
      </c>
      <c r="G232" s="13" t="s">
        <v>462</v>
      </c>
      <c r="H232" s="13" t="s">
        <v>4</v>
      </c>
      <c r="I232" s="15">
        <v>0.6</v>
      </c>
      <c r="J232" s="16">
        <v>45026</v>
      </c>
      <c r="K232" s="17">
        <f t="shared" si="3"/>
        <v>45575</v>
      </c>
      <c r="L232" s="13" t="s">
        <v>465</v>
      </c>
      <c r="M232" s="17">
        <v>45221</v>
      </c>
      <c r="N232" s="17">
        <v>45258</v>
      </c>
      <c r="O232" s="13" t="s">
        <v>470</v>
      </c>
      <c r="P232" s="18" t="s">
        <v>469</v>
      </c>
      <c r="Q232" s="17">
        <v>45647</v>
      </c>
      <c r="R232" s="13"/>
      <c r="S232" s="13" t="s">
        <v>474</v>
      </c>
      <c r="T232" s="13" t="s">
        <v>1099</v>
      </c>
      <c r="U232" s="19">
        <v>3846230</v>
      </c>
      <c r="V232" s="20">
        <v>2307738</v>
      </c>
      <c r="W232" s="20">
        <v>384623</v>
      </c>
      <c r="X232" s="17">
        <v>45326</v>
      </c>
      <c r="Y232" s="13" t="s">
        <v>4</v>
      </c>
      <c r="Z232" s="13" t="s">
        <v>2</v>
      </c>
      <c r="AA232" s="13" t="s">
        <v>2</v>
      </c>
      <c r="AB232" s="13" t="s">
        <v>3</v>
      </c>
      <c r="AC232" s="13" t="s">
        <v>4</v>
      </c>
      <c r="AD232" s="13" t="s">
        <v>1259</v>
      </c>
      <c r="AE232" s="19">
        <v>1095608</v>
      </c>
      <c r="AF232" s="36">
        <v>657364.79999999993</v>
      </c>
    </row>
    <row r="233" spans="1:32" x14ac:dyDescent="0.35">
      <c r="A233" s="34">
        <v>92138621199</v>
      </c>
      <c r="B233" s="13" t="s">
        <v>1268</v>
      </c>
      <c r="C233" s="13">
        <v>60815690681</v>
      </c>
      <c r="D233" s="13" t="s">
        <v>49</v>
      </c>
      <c r="E233" s="67" t="s">
        <v>57</v>
      </c>
      <c r="F233" s="13" t="s">
        <v>294</v>
      </c>
      <c r="G233" s="13" t="s">
        <v>462</v>
      </c>
      <c r="H233" s="13" t="s">
        <v>4</v>
      </c>
      <c r="I233" s="15">
        <v>0.5</v>
      </c>
      <c r="J233" s="16">
        <v>45149</v>
      </c>
      <c r="K233" s="17">
        <f t="shared" si="3"/>
        <v>45699</v>
      </c>
      <c r="L233" s="13" t="s">
        <v>464</v>
      </c>
      <c r="M233" s="17"/>
      <c r="N233" s="17"/>
      <c r="O233" s="13"/>
      <c r="P233" s="18"/>
      <c r="Q233" s="17"/>
      <c r="R233" s="13"/>
      <c r="S233" s="13" t="s">
        <v>701</v>
      </c>
      <c r="T233" s="13" t="s">
        <v>1100</v>
      </c>
      <c r="U233" s="19">
        <v>1095608</v>
      </c>
      <c r="V233" s="20">
        <v>657364.79999999993</v>
      </c>
      <c r="W233" s="20">
        <v>109560.8</v>
      </c>
      <c r="X233" s="17">
        <v>45456</v>
      </c>
      <c r="Y233" s="13" t="s">
        <v>4</v>
      </c>
      <c r="Z233" s="13" t="s">
        <v>2</v>
      </c>
      <c r="AA233" s="13" t="s">
        <v>2</v>
      </c>
      <c r="AB233" s="13" t="s">
        <v>4</v>
      </c>
      <c r="AC233" s="13" t="s">
        <v>4</v>
      </c>
      <c r="AD233" s="13" t="s">
        <v>1258</v>
      </c>
      <c r="AE233" s="19">
        <v>5921934</v>
      </c>
      <c r="AF233" s="36">
        <v>3553160.4</v>
      </c>
    </row>
    <row r="234" spans="1:32" x14ac:dyDescent="0.35">
      <c r="A234" s="34">
        <v>70256247575</v>
      </c>
      <c r="B234" s="13" t="s">
        <v>1268</v>
      </c>
      <c r="C234" s="13">
        <v>97799809369</v>
      </c>
      <c r="D234" s="13" t="s">
        <v>48</v>
      </c>
      <c r="E234" s="67" t="s">
        <v>52</v>
      </c>
      <c r="F234" s="13" t="s">
        <v>295</v>
      </c>
      <c r="G234" s="13" t="s">
        <v>463</v>
      </c>
      <c r="H234" s="13" t="s">
        <v>4</v>
      </c>
      <c r="I234" s="15">
        <v>0.6</v>
      </c>
      <c r="J234" s="16">
        <v>45082</v>
      </c>
      <c r="K234" s="17">
        <f t="shared" si="3"/>
        <v>45631</v>
      </c>
      <c r="L234" s="13" t="s">
        <v>464</v>
      </c>
      <c r="M234" s="17"/>
      <c r="N234" s="17"/>
      <c r="O234" s="13"/>
      <c r="P234" s="18"/>
      <c r="Q234" s="17"/>
      <c r="R234" s="13"/>
      <c r="S234" s="13" t="s">
        <v>702</v>
      </c>
      <c r="T234" s="13" t="s">
        <v>1101</v>
      </c>
      <c r="U234" s="19">
        <v>5921934</v>
      </c>
      <c r="V234" s="20">
        <v>3553160.4</v>
      </c>
      <c r="W234" s="20">
        <v>592193.4</v>
      </c>
      <c r="X234" s="17">
        <v>45632</v>
      </c>
      <c r="Y234" s="13" t="s">
        <v>4</v>
      </c>
      <c r="Z234" s="13" t="s">
        <v>1258</v>
      </c>
      <c r="AA234" s="13" t="s">
        <v>1258</v>
      </c>
      <c r="AB234" s="13" t="s">
        <v>3</v>
      </c>
      <c r="AC234" s="13" t="s">
        <v>4</v>
      </c>
      <c r="AD234" s="13" t="s">
        <v>1259</v>
      </c>
      <c r="AE234" s="19">
        <v>7195041</v>
      </c>
      <c r="AF234" s="36">
        <v>4317024.5999999996</v>
      </c>
    </row>
    <row r="235" spans="1:32" x14ac:dyDescent="0.35">
      <c r="A235" s="34">
        <v>52529369760</v>
      </c>
      <c r="B235" s="13" t="s">
        <v>1268</v>
      </c>
      <c r="C235" s="13">
        <v>82819270432</v>
      </c>
      <c r="D235" s="13" t="s">
        <v>46</v>
      </c>
      <c r="E235" s="67" t="s">
        <v>54</v>
      </c>
      <c r="F235" s="13" t="s">
        <v>296</v>
      </c>
      <c r="G235" s="13" t="s">
        <v>463</v>
      </c>
      <c r="H235" s="13" t="s">
        <v>4</v>
      </c>
      <c r="I235" s="15">
        <v>0.6</v>
      </c>
      <c r="J235" s="16">
        <v>45211</v>
      </c>
      <c r="K235" s="17">
        <f t="shared" si="3"/>
        <v>45759</v>
      </c>
      <c r="L235" s="13" t="s">
        <v>464</v>
      </c>
      <c r="M235" s="17"/>
      <c r="N235" s="17"/>
      <c r="O235" s="13"/>
      <c r="P235" s="18"/>
      <c r="Q235" s="17"/>
      <c r="R235" s="13"/>
      <c r="S235" s="13" t="s">
        <v>703</v>
      </c>
      <c r="T235" s="13" t="s">
        <v>1102</v>
      </c>
      <c r="U235" s="19">
        <v>7195041</v>
      </c>
      <c r="V235" s="20">
        <v>4317024.5999999996</v>
      </c>
      <c r="W235" s="20">
        <v>719504.10000000009</v>
      </c>
      <c r="X235" s="17">
        <v>45516</v>
      </c>
      <c r="Y235" s="13" t="s">
        <v>4</v>
      </c>
      <c r="Z235" s="13" t="s">
        <v>2</v>
      </c>
      <c r="AA235" s="13" t="s">
        <v>2</v>
      </c>
      <c r="AB235" s="13" t="s">
        <v>3</v>
      </c>
      <c r="AC235" s="13" t="s">
        <v>4</v>
      </c>
      <c r="AD235" s="13" t="s">
        <v>1259</v>
      </c>
      <c r="AE235" s="19">
        <v>8851866</v>
      </c>
      <c r="AF235" s="36">
        <v>5311119.5999999996</v>
      </c>
    </row>
    <row r="236" spans="1:32" x14ac:dyDescent="0.35">
      <c r="A236" s="34">
        <v>71305148921</v>
      </c>
      <c r="B236" s="13" t="s">
        <v>1268</v>
      </c>
      <c r="C236" s="13">
        <v>41533630205</v>
      </c>
      <c r="D236" s="13" t="s">
        <v>50</v>
      </c>
      <c r="E236" s="67" t="s">
        <v>60</v>
      </c>
      <c r="F236" s="13" t="s">
        <v>297</v>
      </c>
      <c r="G236" s="13" t="s">
        <v>462</v>
      </c>
      <c r="H236" s="13" t="s">
        <v>4</v>
      </c>
      <c r="I236" s="15">
        <v>0.6</v>
      </c>
      <c r="J236" s="16">
        <v>45123</v>
      </c>
      <c r="K236" s="17">
        <f t="shared" si="3"/>
        <v>45673</v>
      </c>
      <c r="L236" s="13" t="s">
        <v>465</v>
      </c>
      <c r="M236" s="17">
        <v>45206</v>
      </c>
      <c r="N236" s="17">
        <v>45459</v>
      </c>
      <c r="O236" s="13" t="s">
        <v>470</v>
      </c>
      <c r="P236" s="18" t="s">
        <v>469</v>
      </c>
      <c r="Q236" s="17">
        <v>45613</v>
      </c>
      <c r="R236" s="13"/>
      <c r="S236" s="13" t="s">
        <v>704</v>
      </c>
      <c r="T236" s="13" t="s">
        <v>1103</v>
      </c>
      <c r="U236" s="19">
        <v>8851866</v>
      </c>
      <c r="V236" s="20">
        <v>5311119.5999999996</v>
      </c>
      <c r="W236" s="20">
        <v>885186.60000000009</v>
      </c>
      <c r="X236" s="17">
        <v>45587</v>
      </c>
      <c r="Y236" s="13" t="s">
        <v>4</v>
      </c>
      <c r="Z236" s="13" t="s">
        <v>2</v>
      </c>
      <c r="AA236" s="13" t="s">
        <v>2</v>
      </c>
      <c r="AB236" s="13" t="s">
        <v>3</v>
      </c>
      <c r="AC236" s="13" t="s">
        <v>4</v>
      </c>
      <c r="AD236" s="13" t="s">
        <v>1258</v>
      </c>
      <c r="AE236" s="19">
        <v>9991695</v>
      </c>
      <c r="AF236" s="36">
        <v>5995017</v>
      </c>
    </row>
    <row r="237" spans="1:32" x14ac:dyDescent="0.35">
      <c r="A237" s="34">
        <v>73043129025</v>
      </c>
      <c r="B237" s="13" t="s">
        <v>1268</v>
      </c>
      <c r="C237" s="13">
        <v>97312091992</v>
      </c>
      <c r="D237" s="13" t="s">
        <v>44</v>
      </c>
      <c r="E237" s="67" t="s">
        <v>55</v>
      </c>
      <c r="F237" s="13" t="s">
        <v>298</v>
      </c>
      <c r="G237" s="13" t="s">
        <v>462</v>
      </c>
      <c r="H237" s="13" t="s">
        <v>3</v>
      </c>
      <c r="I237" s="15">
        <v>0.6</v>
      </c>
      <c r="J237" s="16">
        <v>45218</v>
      </c>
      <c r="K237" s="17">
        <f t="shared" si="3"/>
        <v>45766</v>
      </c>
      <c r="L237" s="13" t="s">
        <v>465</v>
      </c>
      <c r="M237" s="17">
        <v>45045</v>
      </c>
      <c r="N237" s="17">
        <v>45382</v>
      </c>
      <c r="O237" s="13" t="s">
        <v>470</v>
      </c>
      <c r="P237" s="18" t="s">
        <v>469</v>
      </c>
      <c r="Q237" s="17">
        <v>45369</v>
      </c>
      <c r="R237" s="13"/>
      <c r="S237" s="13" t="s">
        <v>705</v>
      </c>
      <c r="T237" s="13" t="s">
        <v>1104</v>
      </c>
      <c r="U237" s="19">
        <v>9991695</v>
      </c>
      <c r="V237" s="20">
        <v>5995017</v>
      </c>
      <c r="W237" s="20">
        <v>999169.5</v>
      </c>
      <c r="X237" s="17">
        <v>45655</v>
      </c>
      <c r="Y237" s="13" t="s">
        <v>3</v>
      </c>
      <c r="Z237" s="13" t="s">
        <v>2</v>
      </c>
      <c r="AA237" s="13" t="s">
        <v>2</v>
      </c>
      <c r="AB237" s="13" t="s">
        <v>4</v>
      </c>
      <c r="AC237" s="13" t="s">
        <v>3</v>
      </c>
      <c r="AD237" s="13" t="s">
        <v>1259</v>
      </c>
      <c r="AE237" s="19">
        <v>2287288</v>
      </c>
      <c r="AF237" s="36">
        <v>1372372.8</v>
      </c>
    </row>
    <row r="238" spans="1:32" x14ac:dyDescent="0.35">
      <c r="A238" s="34">
        <v>23628625531</v>
      </c>
      <c r="B238" s="13" t="s">
        <v>1268</v>
      </c>
      <c r="C238" s="13">
        <v>77692485084</v>
      </c>
      <c r="D238" s="13" t="s">
        <v>43</v>
      </c>
      <c r="E238" s="67" t="s">
        <v>56</v>
      </c>
      <c r="F238" s="13" t="s">
        <v>299</v>
      </c>
      <c r="G238" s="13" t="s">
        <v>462</v>
      </c>
      <c r="H238" s="13" t="s">
        <v>3</v>
      </c>
      <c r="I238" s="15">
        <v>0.6</v>
      </c>
      <c r="J238" s="16">
        <v>44958</v>
      </c>
      <c r="K238" s="17">
        <f t="shared" si="3"/>
        <v>45505</v>
      </c>
      <c r="L238" s="13" t="s">
        <v>465</v>
      </c>
      <c r="M238" s="17">
        <v>45021</v>
      </c>
      <c r="N238" s="17">
        <v>45026</v>
      </c>
      <c r="O238" s="13" t="s">
        <v>468</v>
      </c>
      <c r="P238" s="18" t="s">
        <v>471</v>
      </c>
      <c r="Q238" s="17">
        <v>45430</v>
      </c>
      <c r="R238" s="13"/>
      <c r="S238" s="13" t="s">
        <v>706</v>
      </c>
      <c r="T238" s="13" t="s">
        <v>1105</v>
      </c>
      <c r="U238" s="19">
        <v>2287288</v>
      </c>
      <c r="V238" s="20">
        <v>1372372.8</v>
      </c>
      <c r="W238" s="20">
        <v>228728.80000000002</v>
      </c>
      <c r="X238" s="17">
        <v>45525</v>
      </c>
      <c r="Y238" s="13" t="s">
        <v>3</v>
      </c>
      <c r="Z238" s="13" t="s">
        <v>2</v>
      </c>
      <c r="AA238" s="13" t="s">
        <v>2</v>
      </c>
      <c r="AB238" s="13" t="s">
        <v>4</v>
      </c>
      <c r="AC238" s="13" t="s">
        <v>3</v>
      </c>
      <c r="AD238" s="13" t="s">
        <v>1259</v>
      </c>
      <c r="AE238" s="19">
        <v>7919666</v>
      </c>
      <c r="AF238" s="36">
        <v>4751799.5999999996</v>
      </c>
    </row>
    <row r="239" spans="1:32" x14ac:dyDescent="0.35">
      <c r="A239" s="34">
        <v>62111125411</v>
      </c>
      <c r="B239" s="13" t="s">
        <v>1268</v>
      </c>
      <c r="C239" s="13">
        <v>58160311318</v>
      </c>
      <c r="D239" s="13" t="s">
        <v>49</v>
      </c>
      <c r="E239" s="67" t="s">
        <v>56</v>
      </c>
      <c r="F239" s="13" t="s">
        <v>300</v>
      </c>
      <c r="G239" s="13" t="s">
        <v>462</v>
      </c>
      <c r="H239" s="13" t="s">
        <v>4</v>
      </c>
      <c r="I239" s="15">
        <v>0.6</v>
      </c>
      <c r="J239" s="16">
        <v>45266</v>
      </c>
      <c r="K239" s="17">
        <f t="shared" si="3"/>
        <v>45814</v>
      </c>
      <c r="L239" s="13" t="s">
        <v>464</v>
      </c>
      <c r="M239" s="17"/>
      <c r="N239" s="17"/>
      <c r="O239" s="13"/>
      <c r="P239" s="18"/>
      <c r="Q239" s="17"/>
      <c r="R239" s="13"/>
      <c r="S239" s="13" t="s">
        <v>707</v>
      </c>
      <c r="T239" s="13" t="s">
        <v>1106</v>
      </c>
      <c r="U239" s="19">
        <v>7919666</v>
      </c>
      <c r="V239" s="20">
        <v>4751799.5999999996</v>
      </c>
      <c r="W239" s="20">
        <v>791966.60000000009</v>
      </c>
      <c r="X239" s="17">
        <v>45372</v>
      </c>
      <c r="Y239" s="13" t="s">
        <v>4</v>
      </c>
      <c r="Z239" s="13" t="s">
        <v>2</v>
      </c>
      <c r="AA239" s="13" t="s">
        <v>2</v>
      </c>
      <c r="AB239" s="13" t="s">
        <v>4</v>
      </c>
      <c r="AC239" s="13" t="s">
        <v>4</v>
      </c>
      <c r="AD239" s="13" t="s">
        <v>1259</v>
      </c>
      <c r="AE239" s="19">
        <v>7654844</v>
      </c>
      <c r="AF239" s="36">
        <v>4592906.3999999994</v>
      </c>
    </row>
    <row r="240" spans="1:32" x14ac:dyDescent="0.35">
      <c r="A240" s="34">
        <v>88651296316</v>
      </c>
      <c r="B240" s="13" t="s">
        <v>1268</v>
      </c>
      <c r="C240" s="13">
        <v>98636737397</v>
      </c>
      <c r="D240" s="13" t="s">
        <v>42</v>
      </c>
      <c r="E240" s="67" t="s">
        <v>60</v>
      </c>
      <c r="F240" s="13" t="s">
        <v>301</v>
      </c>
      <c r="G240" s="13" t="s">
        <v>462</v>
      </c>
      <c r="H240" s="13" t="s">
        <v>4</v>
      </c>
      <c r="I240" s="15">
        <v>0.6</v>
      </c>
      <c r="J240" s="16">
        <v>45226</v>
      </c>
      <c r="K240" s="17">
        <f t="shared" si="3"/>
        <v>45774</v>
      </c>
      <c r="L240" s="13" t="s">
        <v>464</v>
      </c>
      <c r="M240" s="17"/>
      <c r="N240" s="17"/>
      <c r="O240" s="13"/>
      <c r="P240" s="18"/>
      <c r="Q240" s="17"/>
      <c r="R240" s="13"/>
      <c r="S240" s="13" t="s">
        <v>708</v>
      </c>
      <c r="T240" s="13" t="s">
        <v>1107</v>
      </c>
      <c r="U240" s="19">
        <v>7654844</v>
      </c>
      <c r="V240" s="20">
        <v>4592906.3999999994</v>
      </c>
      <c r="W240" s="20">
        <v>765484.4</v>
      </c>
      <c r="X240" s="17">
        <v>45587</v>
      </c>
      <c r="Y240" s="13" t="s">
        <v>4</v>
      </c>
      <c r="Z240" s="13" t="s">
        <v>2</v>
      </c>
      <c r="AA240" s="13" t="s">
        <v>2</v>
      </c>
      <c r="AB240" s="13" t="s">
        <v>3</v>
      </c>
      <c r="AC240" s="13" t="s">
        <v>4</v>
      </c>
      <c r="AD240" s="13" t="s">
        <v>1258</v>
      </c>
      <c r="AE240" s="19">
        <v>8106240</v>
      </c>
      <c r="AF240" s="36">
        <v>4863744</v>
      </c>
    </row>
    <row r="241" spans="1:32" x14ac:dyDescent="0.35">
      <c r="A241" s="34">
        <v>36745910940</v>
      </c>
      <c r="B241" s="13" t="s">
        <v>1268</v>
      </c>
      <c r="C241" s="13">
        <v>64657259154</v>
      </c>
      <c r="D241" s="13" t="s">
        <v>41</v>
      </c>
      <c r="E241" s="67" t="s">
        <v>51</v>
      </c>
      <c r="F241" s="13" t="s">
        <v>302</v>
      </c>
      <c r="G241" s="13" t="s">
        <v>463</v>
      </c>
      <c r="H241" s="13" t="s">
        <v>4</v>
      </c>
      <c r="I241" s="15">
        <v>0.6</v>
      </c>
      <c r="J241" s="16">
        <v>45261</v>
      </c>
      <c r="K241" s="17">
        <f t="shared" si="3"/>
        <v>45809</v>
      </c>
      <c r="L241" s="13" t="s">
        <v>464</v>
      </c>
      <c r="M241" s="17"/>
      <c r="N241" s="17"/>
      <c r="O241" s="13"/>
      <c r="P241" s="18"/>
      <c r="Q241" s="17"/>
      <c r="R241" s="13"/>
      <c r="S241" s="13" t="s">
        <v>709</v>
      </c>
      <c r="T241" s="13" t="s">
        <v>1108</v>
      </c>
      <c r="U241" s="19">
        <v>8106240</v>
      </c>
      <c r="V241" s="20">
        <v>4863744</v>
      </c>
      <c r="W241" s="20">
        <v>810624</v>
      </c>
      <c r="X241" s="17">
        <v>45573</v>
      </c>
      <c r="Y241" s="13" t="s">
        <v>4</v>
      </c>
      <c r="Z241" s="13" t="s">
        <v>1258</v>
      </c>
      <c r="AA241" s="13" t="s">
        <v>1258</v>
      </c>
      <c r="AB241" s="13" t="s">
        <v>3</v>
      </c>
      <c r="AC241" s="13" t="s">
        <v>4</v>
      </c>
      <c r="AD241" s="13" t="s">
        <v>1259</v>
      </c>
      <c r="AE241" s="19">
        <v>2064207</v>
      </c>
      <c r="AF241" s="36">
        <v>1238524.2</v>
      </c>
    </row>
    <row r="242" spans="1:32" x14ac:dyDescent="0.35">
      <c r="A242" s="34">
        <v>94213654064</v>
      </c>
      <c r="B242" s="13" t="s">
        <v>1268</v>
      </c>
      <c r="C242" s="13">
        <v>46278318852</v>
      </c>
      <c r="D242" s="13" t="s">
        <v>47</v>
      </c>
      <c r="E242" s="67" t="s">
        <v>59</v>
      </c>
      <c r="F242" s="13" t="s">
        <v>303</v>
      </c>
      <c r="G242" s="13" t="s">
        <v>463</v>
      </c>
      <c r="H242" s="13" t="s">
        <v>3</v>
      </c>
      <c r="I242" s="15">
        <v>0.7</v>
      </c>
      <c r="J242" s="16">
        <v>45269</v>
      </c>
      <c r="K242" s="17">
        <f t="shared" si="3"/>
        <v>45817</v>
      </c>
      <c r="L242" s="13" t="s">
        <v>465</v>
      </c>
      <c r="M242" s="17">
        <v>44987</v>
      </c>
      <c r="N242" s="17">
        <v>45492</v>
      </c>
      <c r="O242" s="13" t="s">
        <v>468</v>
      </c>
      <c r="P242" s="18" t="s">
        <v>469</v>
      </c>
      <c r="Q242" s="17">
        <v>45336</v>
      </c>
      <c r="R242" s="13"/>
      <c r="S242" s="13" t="s">
        <v>710</v>
      </c>
      <c r="T242" s="13" t="s">
        <v>1109</v>
      </c>
      <c r="U242" s="19">
        <v>2064207</v>
      </c>
      <c r="V242" s="20">
        <v>1238524.2</v>
      </c>
      <c r="W242" s="20">
        <v>206420.7</v>
      </c>
      <c r="X242" s="17">
        <v>45535</v>
      </c>
      <c r="Y242" s="13" t="s">
        <v>3</v>
      </c>
      <c r="Z242" s="13" t="s">
        <v>2</v>
      </c>
      <c r="AA242" s="13" t="s">
        <v>2</v>
      </c>
      <c r="AB242" s="13" t="s">
        <v>4</v>
      </c>
      <c r="AC242" s="13" t="s">
        <v>3</v>
      </c>
      <c r="AD242" s="13" t="s">
        <v>1258</v>
      </c>
      <c r="AE242" s="19">
        <v>7957063</v>
      </c>
      <c r="AF242" s="36">
        <v>4774237.8</v>
      </c>
    </row>
    <row r="243" spans="1:32" x14ac:dyDescent="0.35">
      <c r="A243" s="34">
        <v>95028260763</v>
      </c>
      <c r="B243" s="13" t="s">
        <v>1268</v>
      </c>
      <c r="C243" s="13">
        <v>50220168184</v>
      </c>
      <c r="D243" s="13" t="s">
        <v>50</v>
      </c>
      <c r="E243" s="67" t="s">
        <v>60</v>
      </c>
      <c r="F243" s="13" t="s">
        <v>304</v>
      </c>
      <c r="G243" s="13" t="s">
        <v>463</v>
      </c>
      <c r="H243" s="13" t="s">
        <v>3</v>
      </c>
      <c r="I243" s="15">
        <v>0.6</v>
      </c>
      <c r="J243" s="16">
        <v>45058</v>
      </c>
      <c r="K243" s="17">
        <f t="shared" si="3"/>
        <v>45608</v>
      </c>
      <c r="L243" s="13" t="s">
        <v>464</v>
      </c>
      <c r="M243" s="17"/>
      <c r="N243" s="17"/>
      <c r="O243" s="13"/>
      <c r="P243" s="18"/>
      <c r="Q243" s="17"/>
      <c r="R243" s="13"/>
      <c r="S243" s="13" t="s">
        <v>711</v>
      </c>
      <c r="T243" s="13" t="s">
        <v>1110</v>
      </c>
      <c r="U243" s="19">
        <v>7957063</v>
      </c>
      <c r="V243" s="20">
        <v>4774237.8</v>
      </c>
      <c r="W243" s="20">
        <v>795706.3</v>
      </c>
      <c r="X243" s="17">
        <v>45480</v>
      </c>
      <c r="Y243" s="13" t="s">
        <v>3</v>
      </c>
      <c r="Z243" s="13" t="s">
        <v>2</v>
      </c>
      <c r="AA243" s="13" t="s">
        <v>2</v>
      </c>
      <c r="AB243" s="13" t="s">
        <v>4</v>
      </c>
      <c r="AC243" s="13" t="s">
        <v>3</v>
      </c>
      <c r="AD243" s="13" t="s">
        <v>1258</v>
      </c>
      <c r="AE243" s="19">
        <v>2034956</v>
      </c>
      <c r="AF243" s="36">
        <v>1220973.5999999999</v>
      </c>
    </row>
    <row r="244" spans="1:32" x14ac:dyDescent="0.35">
      <c r="A244" s="34">
        <v>76995859932</v>
      </c>
      <c r="B244" s="13" t="s">
        <v>1268</v>
      </c>
      <c r="C244" s="13">
        <v>53646175231</v>
      </c>
      <c r="D244" s="13" t="s">
        <v>41</v>
      </c>
      <c r="E244" s="67" t="s">
        <v>54</v>
      </c>
      <c r="F244" s="13" t="s">
        <v>305</v>
      </c>
      <c r="G244" s="13" t="s">
        <v>463</v>
      </c>
      <c r="H244" s="13" t="s">
        <v>3</v>
      </c>
      <c r="I244" s="15">
        <v>0.6</v>
      </c>
      <c r="J244" s="16">
        <v>45027</v>
      </c>
      <c r="K244" s="17">
        <f t="shared" si="3"/>
        <v>45576</v>
      </c>
      <c r="L244" s="13" t="s">
        <v>465</v>
      </c>
      <c r="M244" s="17">
        <v>45072</v>
      </c>
      <c r="N244" s="17">
        <v>45052</v>
      </c>
      <c r="O244" s="13" t="s">
        <v>468</v>
      </c>
      <c r="P244" s="18" t="s">
        <v>471</v>
      </c>
      <c r="Q244" s="17">
        <v>45444</v>
      </c>
      <c r="R244" s="13"/>
      <c r="S244" s="13" t="s">
        <v>712</v>
      </c>
      <c r="T244" s="13" t="s">
        <v>1111</v>
      </c>
      <c r="U244" s="19">
        <v>2034956</v>
      </c>
      <c r="V244" s="20">
        <v>1220973.5999999999</v>
      </c>
      <c r="W244" s="20">
        <v>203495.6</v>
      </c>
      <c r="X244" s="17">
        <v>45340</v>
      </c>
      <c r="Y244" s="13" t="s">
        <v>3</v>
      </c>
      <c r="Z244" s="13" t="s">
        <v>1258</v>
      </c>
      <c r="AA244" s="13" t="s">
        <v>1258</v>
      </c>
      <c r="AB244" s="13" t="s">
        <v>3</v>
      </c>
      <c r="AC244" s="13" t="s">
        <v>3</v>
      </c>
      <c r="AD244" s="13" t="s">
        <v>1259</v>
      </c>
      <c r="AE244" s="19">
        <v>2337988</v>
      </c>
      <c r="AF244" s="36">
        <v>1402792.8</v>
      </c>
    </row>
    <row r="245" spans="1:32" x14ac:dyDescent="0.35">
      <c r="A245" s="34">
        <v>41863239918</v>
      </c>
      <c r="B245" s="13" t="s">
        <v>1268</v>
      </c>
      <c r="C245" s="13">
        <v>25814113991</v>
      </c>
      <c r="D245" s="13" t="s">
        <v>43</v>
      </c>
      <c r="E245" s="67" t="s">
        <v>57</v>
      </c>
      <c r="F245" s="13" t="s">
        <v>306</v>
      </c>
      <c r="G245" s="13" t="s">
        <v>462</v>
      </c>
      <c r="H245" s="13" t="s">
        <v>3</v>
      </c>
      <c r="I245" s="15">
        <v>0.6</v>
      </c>
      <c r="J245" s="16">
        <v>45200</v>
      </c>
      <c r="K245" s="17">
        <f t="shared" si="3"/>
        <v>45748</v>
      </c>
      <c r="L245" s="13" t="s">
        <v>465</v>
      </c>
      <c r="M245" s="17">
        <v>45077</v>
      </c>
      <c r="N245" s="17">
        <v>45545</v>
      </c>
      <c r="O245" s="13" t="s">
        <v>468</v>
      </c>
      <c r="P245" s="18" t="s">
        <v>469</v>
      </c>
      <c r="Q245" s="17">
        <v>45296</v>
      </c>
      <c r="R245" s="13"/>
      <c r="S245" s="13" t="s">
        <v>713</v>
      </c>
      <c r="T245" s="13" t="s">
        <v>1112</v>
      </c>
      <c r="U245" s="19">
        <v>2337988</v>
      </c>
      <c r="V245" s="20">
        <v>1402792.8</v>
      </c>
      <c r="W245" s="20">
        <v>233798.80000000002</v>
      </c>
      <c r="X245" s="17">
        <v>45548</v>
      </c>
      <c r="Y245" s="13" t="s">
        <v>3</v>
      </c>
      <c r="Z245" s="13" t="s">
        <v>1258</v>
      </c>
      <c r="AA245" s="13" t="s">
        <v>1258</v>
      </c>
      <c r="AB245" s="13" t="s">
        <v>3</v>
      </c>
      <c r="AC245" s="13" t="s">
        <v>3</v>
      </c>
      <c r="AD245" s="13" t="s">
        <v>1259</v>
      </c>
      <c r="AE245" s="19">
        <v>9640258</v>
      </c>
      <c r="AF245" s="36">
        <v>5784154.7999999998</v>
      </c>
    </row>
    <row r="246" spans="1:32" x14ac:dyDescent="0.35">
      <c r="A246" s="34">
        <v>35959573883</v>
      </c>
      <c r="B246" s="13" t="s">
        <v>1268</v>
      </c>
      <c r="C246" s="13">
        <v>49321003404</v>
      </c>
      <c r="D246" s="13" t="s">
        <v>49</v>
      </c>
      <c r="E246" s="67" t="s">
        <v>60</v>
      </c>
      <c r="F246" s="13" t="s">
        <v>307</v>
      </c>
      <c r="G246" s="13" t="s">
        <v>462</v>
      </c>
      <c r="H246" s="13" t="s">
        <v>3</v>
      </c>
      <c r="I246" s="15">
        <v>0.6</v>
      </c>
      <c r="J246" s="16">
        <v>45085</v>
      </c>
      <c r="K246" s="17">
        <f t="shared" si="3"/>
        <v>45634</v>
      </c>
      <c r="L246" s="13" t="s">
        <v>465</v>
      </c>
      <c r="M246" s="17">
        <v>45064</v>
      </c>
      <c r="N246" s="17">
        <v>45188</v>
      </c>
      <c r="O246" s="13" t="s">
        <v>468</v>
      </c>
      <c r="P246" s="18" t="s">
        <v>469</v>
      </c>
      <c r="Q246" s="17">
        <v>45441</v>
      </c>
      <c r="R246" s="13"/>
      <c r="S246" s="13" t="s">
        <v>714</v>
      </c>
      <c r="T246" s="13" t="s">
        <v>1113</v>
      </c>
      <c r="U246" s="19">
        <v>9640258</v>
      </c>
      <c r="V246" s="20">
        <v>5784154.7999999998</v>
      </c>
      <c r="W246" s="20">
        <v>964025.8</v>
      </c>
      <c r="X246" s="17">
        <v>45579</v>
      </c>
      <c r="Y246" s="13" t="s">
        <v>3</v>
      </c>
      <c r="Z246" s="13" t="s">
        <v>2</v>
      </c>
      <c r="AA246" s="13" t="s">
        <v>2</v>
      </c>
      <c r="AB246" s="13" t="s">
        <v>3</v>
      </c>
      <c r="AC246" s="13" t="s">
        <v>3</v>
      </c>
      <c r="AD246" s="13" t="s">
        <v>1258</v>
      </c>
      <c r="AE246" s="19">
        <v>3764361</v>
      </c>
      <c r="AF246" s="36">
        <v>2258616.6</v>
      </c>
    </row>
    <row r="247" spans="1:32" x14ac:dyDescent="0.35">
      <c r="A247" s="34">
        <v>12564228788</v>
      </c>
      <c r="B247" s="13" t="s">
        <v>1268</v>
      </c>
      <c r="C247" s="13">
        <v>66974238769</v>
      </c>
      <c r="D247" s="13" t="s">
        <v>49</v>
      </c>
      <c r="E247" s="67" t="s">
        <v>55</v>
      </c>
      <c r="F247" s="13" t="s">
        <v>308</v>
      </c>
      <c r="G247" s="13" t="s">
        <v>462</v>
      </c>
      <c r="H247" s="13" t="s">
        <v>4</v>
      </c>
      <c r="I247" s="15">
        <v>0.6</v>
      </c>
      <c r="J247" s="16">
        <v>45060</v>
      </c>
      <c r="K247" s="17">
        <f t="shared" si="3"/>
        <v>45610</v>
      </c>
      <c r="L247" s="13" t="s">
        <v>464</v>
      </c>
      <c r="M247" s="17"/>
      <c r="N247" s="17"/>
      <c r="O247" s="13"/>
      <c r="P247" s="18"/>
      <c r="Q247" s="17"/>
      <c r="R247" s="13"/>
      <c r="S247" s="13" t="s">
        <v>715</v>
      </c>
      <c r="T247" s="13" t="s">
        <v>1114</v>
      </c>
      <c r="U247" s="19">
        <v>3764361</v>
      </c>
      <c r="V247" s="20">
        <v>2258616.6</v>
      </c>
      <c r="W247" s="20">
        <v>376436.10000000003</v>
      </c>
      <c r="X247" s="17">
        <v>45320</v>
      </c>
      <c r="Y247" s="13" t="s">
        <v>4</v>
      </c>
      <c r="Z247" s="13" t="s">
        <v>2</v>
      </c>
      <c r="AA247" s="13" t="s">
        <v>2</v>
      </c>
      <c r="AB247" s="13" t="s">
        <v>3</v>
      </c>
      <c r="AC247" s="13" t="s">
        <v>4</v>
      </c>
      <c r="AD247" s="13" t="s">
        <v>1259</v>
      </c>
      <c r="AE247" s="19">
        <v>9597288</v>
      </c>
      <c r="AF247" s="36">
        <v>5758372.7999999998</v>
      </c>
    </row>
    <row r="248" spans="1:32" x14ac:dyDescent="0.35">
      <c r="A248" s="34">
        <v>22281059583</v>
      </c>
      <c r="B248" s="13" t="s">
        <v>1268</v>
      </c>
      <c r="C248" s="13">
        <v>94183670519</v>
      </c>
      <c r="D248" s="13" t="s">
        <v>50</v>
      </c>
      <c r="E248" s="67" t="s">
        <v>56</v>
      </c>
      <c r="F248" s="13" t="s">
        <v>309</v>
      </c>
      <c r="G248" s="13" t="s">
        <v>463</v>
      </c>
      <c r="H248" s="13" t="s">
        <v>3</v>
      </c>
      <c r="I248" s="15">
        <v>0.7</v>
      </c>
      <c r="J248" s="16">
        <v>45032</v>
      </c>
      <c r="K248" s="17">
        <f t="shared" si="3"/>
        <v>45581</v>
      </c>
      <c r="L248" s="13" t="s">
        <v>465</v>
      </c>
      <c r="M248" s="17">
        <v>45269</v>
      </c>
      <c r="N248" s="17">
        <v>45051</v>
      </c>
      <c r="O248" s="13" t="s">
        <v>468</v>
      </c>
      <c r="P248" s="18" t="s">
        <v>469</v>
      </c>
      <c r="Q248" s="17">
        <v>45444</v>
      </c>
      <c r="R248" s="13"/>
      <c r="S248" s="13" t="s">
        <v>716</v>
      </c>
      <c r="T248" s="13" t="s">
        <v>1115</v>
      </c>
      <c r="U248" s="19">
        <v>9597288</v>
      </c>
      <c r="V248" s="20">
        <v>5758372.7999999998</v>
      </c>
      <c r="W248" s="20">
        <v>959728.8</v>
      </c>
      <c r="X248" s="17">
        <v>45466</v>
      </c>
      <c r="Y248" s="13" t="s">
        <v>3</v>
      </c>
      <c r="Z248" s="13" t="s">
        <v>1258</v>
      </c>
      <c r="AA248" s="13" t="s">
        <v>1258</v>
      </c>
      <c r="AB248" s="13" t="s">
        <v>3</v>
      </c>
      <c r="AC248" s="13" t="s">
        <v>3</v>
      </c>
      <c r="AD248" s="13" t="s">
        <v>1258</v>
      </c>
      <c r="AE248" s="19">
        <v>4817267</v>
      </c>
      <c r="AF248" s="36">
        <v>2890360.1999999997</v>
      </c>
    </row>
    <row r="249" spans="1:32" x14ac:dyDescent="0.35">
      <c r="A249" s="34">
        <v>26076607351</v>
      </c>
      <c r="B249" s="13" t="s">
        <v>1268</v>
      </c>
      <c r="C249" s="13">
        <v>85464253001</v>
      </c>
      <c r="D249" s="13" t="s">
        <v>48</v>
      </c>
      <c r="E249" s="67" t="s">
        <v>59</v>
      </c>
      <c r="F249" s="13" t="s">
        <v>310</v>
      </c>
      <c r="G249" s="13" t="s">
        <v>463</v>
      </c>
      <c r="H249" s="13" t="s">
        <v>3</v>
      </c>
      <c r="I249" s="15">
        <v>0.6</v>
      </c>
      <c r="J249" s="16">
        <v>45035</v>
      </c>
      <c r="K249" s="17">
        <f t="shared" si="3"/>
        <v>45584</v>
      </c>
      <c r="L249" s="13" t="s">
        <v>464</v>
      </c>
      <c r="M249" s="17"/>
      <c r="N249" s="17"/>
      <c r="O249" s="13"/>
      <c r="P249" s="18"/>
      <c r="Q249" s="17"/>
      <c r="R249" s="13"/>
      <c r="S249" s="13" t="s">
        <v>61</v>
      </c>
      <c r="T249" s="13" t="s">
        <v>1116</v>
      </c>
      <c r="U249" s="19">
        <v>4817267</v>
      </c>
      <c r="V249" s="20">
        <v>2890360.1999999997</v>
      </c>
      <c r="W249" s="20">
        <v>481726.7</v>
      </c>
      <c r="X249" s="17">
        <v>45393</v>
      </c>
      <c r="Y249" s="13" t="s">
        <v>3</v>
      </c>
      <c r="Z249" s="13" t="s">
        <v>1258</v>
      </c>
      <c r="AA249" s="13" t="s">
        <v>1258</v>
      </c>
      <c r="AB249" s="13" t="s">
        <v>4</v>
      </c>
      <c r="AC249" s="13" t="s">
        <v>3</v>
      </c>
      <c r="AD249" s="13" t="s">
        <v>1258</v>
      </c>
      <c r="AE249" s="19">
        <v>6728054</v>
      </c>
      <c r="AF249" s="36">
        <v>4036832.4</v>
      </c>
    </row>
    <row r="250" spans="1:32" x14ac:dyDescent="0.35">
      <c r="A250" s="34">
        <v>18042244204</v>
      </c>
      <c r="B250" s="13" t="s">
        <v>1268</v>
      </c>
      <c r="C250" s="13">
        <v>88945984338</v>
      </c>
      <c r="D250" s="13" t="s">
        <v>45</v>
      </c>
      <c r="E250" s="67" t="s">
        <v>60</v>
      </c>
      <c r="F250" s="13" t="s">
        <v>311</v>
      </c>
      <c r="G250" s="13" t="s">
        <v>463</v>
      </c>
      <c r="H250" s="13" t="s">
        <v>3</v>
      </c>
      <c r="I250" s="15">
        <v>0.6</v>
      </c>
      <c r="J250" s="16">
        <v>45210</v>
      </c>
      <c r="K250" s="17">
        <f t="shared" si="3"/>
        <v>45758</v>
      </c>
      <c r="L250" s="13" t="s">
        <v>465</v>
      </c>
      <c r="M250" s="17">
        <v>45065</v>
      </c>
      <c r="N250" s="17">
        <v>45430</v>
      </c>
      <c r="O250" s="13" t="s">
        <v>470</v>
      </c>
      <c r="P250" s="18" t="s">
        <v>469</v>
      </c>
      <c r="Q250" s="17">
        <v>45332</v>
      </c>
      <c r="R250" s="13"/>
      <c r="S250" s="13" t="s">
        <v>717</v>
      </c>
      <c r="T250" s="13" t="s">
        <v>1117</v>
      </c>
      <c r="U250" s="19">
        <v>6728054</v>
      </c>
      <c r="V250" s="20">
        <v>4036832.4</v>
      </c>
      <c r="W250" s="20">
        <v>672805.4</v>
      </c>
      <c r="X250" s="17">
        <v>45364</v>
      </c>
      <c r="Y250" s="13" t="s">
        <v>3</v>
      </c>
      <c r="Z250" s="13" t="s">
        <v>2</v>
      </c>
      <c r="AA250" s="13" t="s">
        <v>2</v>
      </c>
      <c r="AB250" s="13" t="s">
        <v>4</v>
      </c>
      <c r="AC250" s="13" t="s">
        <v>3</v>
      </c>
      <c r="AD250" s="13" t="s">
        <v>1259</v>
      </c>
      <c r="AE250" s="19">
        <v>3552462</v>
      </c>
      <c r="AF250" s="36">
        <v>2131477.1999999997</v>
      </c>
    </row>
    <row r="251" spans="1:32" x14ac:dyDescent="0.35">
      <c r="A251" s="34">
        <v>39231054668</v>
      </c>
      <c r="B251" s="13" t="s">
        <v>1268</v>
      </c>
      <c r="C251" s="13">
        <v>24232772303</v>
      </c>
      <c r="D251" s="13" t="s">
        <v>46</v>
      </c>
      <c r="E251" s="67" t="s">
        <v>54</v>
      </c>
      <c r="F251" s="13" t="s">
        <v>312</v>
      </c>
      <c r="G251" s="13" t="s">
        <v>462</v>
      </c>
      <c r="H251" s="13" t="s">
        <v>4</v>
      </c>
      <c r="I251" s="15">
        <v>0.6</v>
      </c>
      <c r="J251" s="16">
        <v>44987</v>
      </c>
      <c r="K251" s="17">
        <f t="shared" si="3"/>
        <v>45537</v>
      </c>
      <c r="L251" s="13" t="s">
        <v>464</v>
      </c>
      <c r="M251" s="17"/>
      <c r="N251" s="17"/>
      <c r="O251" s="13"/>
      <c r="P251" s="18"/>
      <c r="Q251" s="17"/>
      <c r="R251" s="13"/>
      <c r="S251" s="13" t="s">
        <v>718</v>
      </c>
      <c r="T251" s="13" t="s">
        <v>1118</v>
      </c>
      <c r="U251" s="19">
        <v>3552462</v>
      </c>
      <c r="V251" s="20">
        <v>2131477.1999999997</v>
      </c>
      <c r="W251" s="20">
        <v>355246.2</v>
      </c>
      <c r="X251" s="17">
        <v>45301</v>
      </c>
      <c r="Y251" s="13" t="s">
        <v>4</v>
      </c>
      <c r="Z251" s="13" t="s">
        <v>2</v>
      </c>
      <c r="AA251" s="13" t="s">
        <v>2</v>
      </c>
      <c r="AB251" s="13" t="s">
        <v>4</v>
      </c>
      <c r="AC251" s="13" t="s">
        <v>4</v>
      </c>
      <c r="AD251" s="13" t="s">
        <v>1259</v>
      </c>
      <c r="AE251" s="19">
        <v>6114623</v>
      </c>
      <c r="AF251" s="36">
        <v>3668773.8</v>
      </c>
    </row>
    <row r="252" spans="1:32" x14ac:dyDescent="0.35">
      <c r="A252" s="34">
        <v>48769584982</v>
      </c>
      <c r="B252" s="13" t="s">
        <v>1268</v>
      </c>
      <c r="C252" s="13">
        <v>65115411434</v>
      </c>
      <c r="D252" s="13" t="s">
        <v>43</v>
      </c>
      <c r="E252" s="67" t="s">
        <v>60</v>
      </c>
      <c r="F252" s="13" t="s">
        <v>313</v>
      </c>
      <c r="G252" s="13" t="s">
        <v>462</v>
      </c>
      <c r="H252" s="13" t="s">
        <v>4</v>
      </c>
      <c r="I252" s="15">
        <v>0.5</v>
      </c>
      <c r="J252" s="16">
        <v>45096</v>
      </c>
      <c r="K252" s="17">
        <f t="shared" si="3"/>
        <v>45645</v>
      </c>
      <c r="L252" s="13" t="s">
        <v>464</v>
      </c>
      <c r="M252" s="17"/>
      <c r="N252" s="17"/>
      <c r="O252" s="13"/>
      <c r="P252" s="18"/>
      <c r="Q252" s="17"/>
      <c r="R252" s="13"/>
      <c r="S252" s="13" t="s">
        <v>719</v>
      </c>
      <c r="T252" s="13" t="s">
        <v>1119</v>
      </c>
      <c r="U252" s="19">
        <v>6114623</v>
      </c>
      <c r="V252" s="20">
        <v>3668773.8</v>
      </c>
      <c r="W252" s="20">
        <v>611462.30000000005</v>
      </c>
      <c r="X252" s="17">
        <v>45455</v>
      </c>
      <c r="Y252" s="13" t="s">
        <v>4</v>
      </c>
      <c r="Z252" s="13" t="s">
        <v>2</v>
      </c>
      <c r="AA252" s="13" t="s">
        <v>2</v>
      </c>
      <c r="AB252" s="13" t="s">
        <v>4</v>
      </c>
      <c r="AC252" s="13" t="s">
        <v>4</v>
      </c>
      <c r="AD252" s="13" t="s">
        <v>1258</v>
      </c>
      <c r="AE252" s="19">
        <v>9811512</v>
      </c>
      <c r="AF252" s="36">
        <v>5886907.2000000002</v>
      </c>
    </row>
    <row r="253" spans="1:32" x14ac:dyDescent="0.35">
      <c r="A253" s="34">
        <v>80490433662</v>
      </c>
      <c r="B253" s="13" t="s">
        <v>1268</v>
      </c>
      <c r="C253" s="13">
        <v>88150332885</v>
      </c>
      <c r="D253" s="13" t="s">
        <v>49</v>
      </c>
      <c r="E253" s="67" t="s">
        <v>54</v>
      </c>
      <c r="F253" s="13" t="s">
        <v>314</v>
      </c>
      <c r="G253" s="13" t="s">
        <v>462</v>
      </c>
      <c r="H253" s="13" t="s">
        <v>4</v>
      </c>
      <c r="I253" s="15">
        <v>0.5</v>
      </c>
      <c r="J253" s="16">
        <v>44962</v>
      </c>
      <c r="K253" s="17">
        <f t="shared" si="3"/>
        <v>45509</v>
      </c>
      <c r="L253" s="13" t="s">
        <v>465</v>
      </c>
      <c r="M253" s="17">
        <v>45220</v>
      </c>
      <c r="N253" s="17">
        <v>45136</v>
      </c>
      <c r="O253" s="13" t="s">
        <v>470</v>
      </c>
      <c r="P253" s="18" t="s">
        <v>471</v>
      </c>
      <c r="Q253" s="17">
        <v>45521</v>
      </c>
      <c r="R253" s="13"/>
      <c r="S253" s="13" t="s">
        <v>720</v>
      </c>
      <c r="T253" s="13" t="s">
        <v>1120</v>
      </c>
      <c r="U253" s="19">
        <v>9811512</v>
      </c>
      <c r="V253" s="20">
        <v>5886907.2000000002</v>
      </c>
      <c r="W253" s="20">
        <v>981151.20000000007</v>
      </c>
      <c r="X253" s="17">
        <v>45548</v>
      </c>
      <c r="Y253" s="13" t="s">
        <v>4</v>
      </c>
      <c r="Z253" s="13" t="s">
        <v>2</v>
      </c>
      <c r="AA253" s="13" t="s">
        <v>2</v>
      </c>
      <c r="AB253" s="13" t="s">
        <v>4</v>
      </c>
      <c r="AC253" s="13" t="s">
        <v>4</v>
      </c>
      <c r="AD253" s="13" t="s">
        <v>1259</v>
      </c>
      <c r="AE253" s="19">
        <v>6825430</v>
      </c>
      <c r="AF253" s="36">
        <v>4095258</v>
      </c>
    </row>
    <row r="254" spans="1:32" x14ac:dyDescent="0.35">
      <c r="A254" s="34">
        <v>12810679305</v>
      </c>
      <c r="B254" s="13" t="s">
        <v>1268</v>
      </c>
      <c r="C254" s="13">
        <v>31215002858</v>
      </c>
      <c r="D254" s="13" t="s">
        <v>43</v>
      </c>
      <c r="E254" s="67" t="s">
        <v>58</v>
      </c>
      <c r="F254" s="13" t="s">
        <v>315</v>
      </c>
      <c r="G254" s="13" t="s">
        <v>462</v>
      </c>
      <c r="H254" s="13" t="s">
        <v>4</v>
      </c>
      <c r="I254" s="15">
        <v>0.6</v>
      </c>
      <c r="J254" s="16">
        <v>45072</v>
      </c>
      <c r="K254" s="17">
        <f t="shared" si="3"/>
        <v>45622</v>
      </c>
      <c r="L254" s="13" t="s">
        <v>465</v>
      </c>
      <c r="M254" s="17">
        <v>44956</v>
      </c>
      <c r="N254" s="17">
        <v>45380</v>
      </c>
      <c r="O254" s="13" t="s">
        <v>468</v>
      </c>
      <c r="P254" s="18" t="s">
        <v>469</v>
      </c>
      <c r="Q254" s="17">
        <v>45655</v>
      </c>
      <c r="R254" s="13"/>
      <c r="S254" s="13" t="s">
        <v>721</v>
      </c>
      <c r="T254" s="13" t="s">
        <v>1121</v>
      </c>
      <c r="U254" s="19">
        <v>6825430</v>
      </c>
      <c r="V254" s="20">
        <v>4095258</v>
      </c>
      <c r="W254" s="20">
        <v>682543</v>
      </c>
      <c r="X254" s="17">
        <v>45626</v>
      </c>
      <c r="Y254" s="13" t="s">
        <v>4</v>
      </c>
      <c r="Z254" s="13" t="s">
        <v>1258</v>
      </c>
      <c r="AA254" s="13" t="s">
        <v>1258</v>
      </c>
      <c r="AB254" s="13" t="s">
        <v>3</v>
      </c>
      <c r="AC254" s="13" t="s">
        <v>4</v>
      </c>
      <c r="AD254" s="13" t="s">
        <v>1259</v>
      </c>
      <c r="AE254" s="19">
        <v>4245747</v>
      </c>
      <c r="AF254" s="36">
        <v>2547448.1999999997</v>
      </c>
    </row>
    <row r="255" spans="1:32" x14ac:dyDescent="0.35">
      <c r="A255" s="34">
        <v>37800479524</v>
      </c>
      <c r="B255" s="13" t="s">
        <v>1268</v>
      </c>
      <c r="C255" s="13">
        <v>75782473856</v>
      </c>
      <c r="D255" s="13" t="s">
        <v>50</v>
      </c>
      <c r="E255" s="67" t="s">
        <v>57</v>
      </c>
      <c r="F255" s="13" t="s">
        <v>316</v>
      </c>
      <c r="G255" s="13" t="s">
        <v>462</v>
      </c>
      <c r="H255" s="13" t="s">
        <v>3</v>
      </c>
      <c r="I255" s="15">
        <v>0.7</v>
      </c>
      <c r="J255" s="16">
        <v>45290</v>
      </c>
      <c r="K255" s="17">
        <f t="shared" si="3"/>
        <v>45838</v>
      </c>
      <c r="L255" s="13" t="s">
        <v>465</v>
      </c>
      <c r="M255" s="17">
        <v>45162</v>
      </c>
      <c r="N255" s="17">
        <v>45587</v>
      </c>
      <c r="O255" s="13" t="s">
        <v>468</v>
      </c>
      <c r="P255" s="18" t="s">
        <v>471</v>
      </c>
      <c r="Q255" s="17">
        <v>45413</v>
      </c>
      <c r="R255" s="13"/>
      <c r="S255" s="13" t="s">
        <v>722</v>
      </c>
      <c r="T255" s="13" t="s">
        <v>1122</v>
      </c>
      <c r="U255" s="19">
        <v>4245747</v>
      </c>
      <c r="V255" s="20">
        <v>2547448.1999999997</v>
      </c>
      <c r="W255" s="20">
        <v>424574.7</v>
      </c>
      <c r="X255" s="17">
        <v>45606</v>
      </c>
      <c r="Y255" s="13" t="s">
        <v>3</v>
      </c>
      <c r="Z255" s="13" t="s">
        <v>2</v>
      </c>
      <c r="AA255" s="13" t="s">
        <v>2</v>
      </c>
      <c r="AB255" s="13" t="s">
        <v>4</v>
      </c>
      <c r="AC255" s="13" t="s">
        <v>3</v>
      </c>
      <c r="AD255" s="13" t="s">
        <v>1258</v>
      </c>
      <c r="AE255" s="19">
        <v>4491655</v>
      </c>
      <c r="AF255" s="36">
        <v>2694993</v>
      </c>
    </row>
    <row r="256" spans="1:32" x14ac:dyDescent="0.35">
      <c r="A256" s="34">
        <v>80580140230</v>
      </c>
      <c r="B256" s="13" t="s">
        <v>1268</v>
      </c>
      <c r="C256" s="13">
        <v>41550925422</v>
      </c>
      <c r="D256" s="13" t="s">
        <v>45</v>
      </c>
      <c r="E256" s="67" t="s">
        <v>51</v>
      </c>
      <c r="F256" s="13" t="s">
        <v>317</v>
      </c>
      <c r="G256" s="13" t="s">
        <v>462</v>
      </c>
      <c r="H256" s="13" t="s">
        <v>3</v>
      </c>
      <c r="I256" s="15">
        <v>0.6</v>
      </c>
      <c r="J256" s="16">
        <v>45245</v>
      </c>
      <c r="K256" s="17">
        <f t="shared" si="3"/>
        <v>45792</v>
      </c>
      <c r="L256" s="13" t="s">
        <v>464</v>
      </c>
      <c r="M256" s="17"/>
      <c r="N256" s="17"/>
      <c r="O256" s="13"/>
      <c r="P256" s="18"/>
      <c r="Q256" s="17"/>
      <c r="R256" s="13"/>
      <c r="S256" s="13" t="s">
        <v>723</v>
      </c>
      <c r="T256" s="13" t="s">
        <v>1123</v>
      </c>
      <c r="U256" s="19">
        <v>4491655</v>
      </c>
      <c r="V256" s="20">
        <v>2694993</v>
      </c>
      <c r="W256" s="20">
        <v>449165.5</v>
      </c>
      <c r="X256" s="17">
        <v>45336</v>
      </c>
      <c r="Y256" s="13" t="s">
        <v>3</v>
      </c>
      <c r="Z256" s="13" t="s">
        <v>1258</v>
      </c>
      <c r="AA256" s="13" t="s">
        <v>1258</v>
      </c>
      <c r="AB256" s="13" t="s">
        <v>3</v>
      </c>
      <c r="AC256" s="13" t="s">
        <v>3</v>
      </c>
      <c r="AD256" s="13" t="s">
        <v>1259</v>
      </c>
      <c r="AE256" s="19">
        <v>4590168</v>
      </c>
      <c r="AF256" s="36">
        <v>2754100.8</v>
      </c>
    </row>
    <row r="257" spans="1:32" x14ac:dyDescent="0.35">
      <c r="A257" s="34">
        <v>77604625761</v>
      </c>
      <c r="B257" s="13" t="s">
        <v>1268</v>
      </c>
      <c r="C257" s="13">
        <v>69611503435</v>
      </c>
      <c r="D257" s="13" t="s">
        <v>48</v>
      </c>
      <c r="E257" s="67" t="s">
        <v>56</v>
      </c>
      <c r="F257" s="13" t="s">
        <v>318</v>
      </c>
      <c r="G257" s="13" t="s">
        <v>463</v>
      </c>
      <c r="H257" s="13" t="s">
        <v>4</v>
      </c>
      <c r="I257" s="15">
        <v>0.6</v>
      </c>
      <c r="J257" s="16">
        <v>45081</v>
      </c>
      <c r="K257" s="17">
        <f t="shared" si="3"/>
        <v>45630</v>
      </c>
      <c r="L257" s="13" t="s">
        <v>465</v>
      </c>
      <c r="M257" s="17">
        <v>45062</v>
      </c>
      <c r="N257" s="17">
        <v>45406</v>
      </c>
      <c r="O257" s="13" t="s">
        <v>470</v>
      </c>
      <c r="P257" s="18" t="s">
        <v>471</v>
      </c>
      <c r="Q257" s="17">
        <v>45452</v>
      </c>
      <c r="R257" s="13"/>
      <c r="S257" s="13" t="s">
        <v>724</v>
      </c>
      <c r="T257" s="13" t="s">
        <v>1124</v>
      </c>
      <c r="U257" s="19">
        <v>4590168</v>
      </c>
      <c r="V257" s="20">
        <v>2754100.8</v>
      </c>
      <c r="W257" s="20">
        <v>459016.80000000005</v>
      </c>
      <c r="X257" s="17">
        <v>45464</v>
      </c>
      <c r="Y257" s="13" t="s">
        <v>4</v>
      </c>
      <c r="Z257" s="13" t="s">
        <v>1258</v>
      </c>
      <c r="AA257" s="13" t="s">
        <v>1258</v>
      </c>
      <c r="AB257" s="13" t="s">
        <v>3</v>
      </c>
      <c r="AC257" s="13" t="s">
        <v>4</v>
      </c>
      <c r="AD257" s="13" t="s">
        <v>1259</v>
      </c>
      <c r="AE257" s="19">
        <v>2114887</v>
      </c>
      <c r="AF257" s="36">
        <v>1268932.2</v>
      </c>
    </row>
    <row r="258" spans="1:32" x14ac:dyDescent="0.35">
      <c r="A258" s="34">
        <v>86641388169</v>
      </c>
      <c r="B258" s="13" t="s">
        <v>1268</v>
      </c>
      <c r="C258" s="13">
        <v>63851591788</v>
      </c>
      <c r="D258" s="13" t="s">
        <v>49</v>
      </c>
      <c r="E258" s="67" t="s">
        <v>52</v>
      </c>
      <c r="F258" s="13" t="s">
        <v>319</v>
      </c>
      <c r="G258" s="13" t="s">
        <v>462</v>
      </c>
      <c r="H258" s="13" t="s">
        <v>4</v>
      </c>
      <c r="I258" s="15">
        <v>0.6</v>
      </c>
      <c r="J258" s="16">
        <v>44948</v>
      </c>
      <c r="K258" s="17">
        <f t="shared" si="3"/>
        <v>45495</v>
      </c>
      <c r="L258" s="13" t="s">
        <v>465</v>
      </c>
      <c r="M258" s="17">
        <v>45051</v>
      </c>
      <c r="N258" s="17">
        <v>45120</v>
      </c>
      <c r="O258" s="13" t="s">
        <v>468</v>
      </c>
      <c r="P258" s="18" t="s">
        <v>469</v>
      </c>
      <c r="Q258" s="17">
        <v>45583</v>
      </c>
      <c r="R258" s="13"/>
      <c r="S258" s="13" t="s">
        <v>725</v>
      </c>
      <c r="T258" s="13" t="s">
        <v>1125</v>
      </c>
      <c r="U258" s="19">
        <v>2114887</v>
      </c>
      <c r="V258" s="20">
        <v>1268932.2</v>
      </c>
      <c r="W258" s="20">
        <v>211488.7</v>
      </c>
      <c r="X258" s="17">
        <v>45647</v>
      </c>
      <c r="Y258" s="13" t="s">
        <v>4</v>
      </c>
      <c r="Z258" s="13" t="s">
        <v>2</v>
      </c>
      <c r="AA258" s="13" t="s">
        <v>2</v>
      </c>
      <c r="AB258" s="13" t="s">
        <v>4</v>
      </c>
      <c r="AC258" s="13" t="s">
        <v>4</v>
      </c>
      <c r="AD258" s="13" t="s">
        <v>1258</v>
      </c>
      <c r="AE258" s="19">
        <v>8766509</v>
      </c>
      <c r="AF258" s="36">
        <v>5259905.3999999994</v>
      </c>
    </row>
    <row r="259" spans="1:32" x14ac:dyDescent="0.35">
      <c r="A259" s="34">
        <v>82915773712</v>
      </c>
      <c r="B259" s="13" t="s">
        <v>1268</v>
      </c>
      <c r="C259" s="13">
        <v>80429988303</v>
      </c>
      <c r="D259" s="13" t="s">
        <v>43</v>
      </c>
      <c r="E259" s="67" t="s">
        <v>52</v>
      </c>
      <c r="F259" s="13" t="s">
        <v>320</v>
      </c>
      <c r="G259" s="13" t="s">
        <v>463</v>
      </c>
      <c r="H259" s="13" t="s">
        <v>3</v>
      </c>
      <c r="I259" s="15">
        <v>0.5</v>
      </c>
      <c r="J259" s="16">
        <v>45081</v>
      </c>
      <c r="K259" s="17">
        <f t="shared" si="3"/>
        <v>45630</v>
      </c>
      <c r="L259" s="13" t="s">
        <v>464</v>
      </c>
      <c r="M259" s="17"/>
      <c r="N259" s="17"/>
      <c r="O259" s="13"/>
      <c r="P259" s="18"/>
      <c r="Q259" s="17"/>
      <c r="R259" s="13"/>
      <c r="S259" s="13" t="s">
        <v>726</v>
      </c>
      <c r="T259" s="13" t="s">
        <v>1126</v>
      </c>
      <c r="U259" s="19">
        <v>8766509</v>
      </c>
      <c r="V259" s="20">
        <v>5259905.3999999994</v>
      </c>
      <c r="W259" s="20">
        <v>876650.9</v>
      </c>
      <c r="X259" s="17">
        <v>45476</v>
      </c>
      <c r="Y259" s="13" t="s">
        <v>3</v>
      </c>
      <c r="Z259" s="13" t="s">
        <v>1258</v>
      </c>
      <c r="AA259" s="13" t="s">
        <v>1258</v>
      </c>
      <c r="AB259" s="13" t="s">
        <v>3</v>
      </c>
      <c r="AC259" s="13" t="s">
        <v>3</v>
      </c>
      <c r="AD259" s="13" t="s">
        <v>1258</v>
      </c>
      <c r="AE259" s="19">
        <v>1029679</v>
      </c>
      <c r="AF259" s="36">
        <v>617807.4</v>
      </c>
    </row>
    <row r="260" spans="1:32" x14ac:dyDescent="0.35">
      <c r="A260" s="34">
        <v>24361114953</v>
      </c>
      <c r="B260" s="13" t="s">
        <v>1268</v>
      </c>
      <c r="C260" s="13">
        <v>77433059960</v>
      </c>
      <c r="D260" s="13" t="s">
        <v>45</v>
      </c>
      <c r="E260" s="67" t="s">
        <v>58</v>
      </c>
      <c r="F260" s="13" t="s">
        <v>321</v>
      </c>
      <c r="G260" s="13" t="s">
        <v>462</v>
      </c>
      <c r="H260" s="13" t="s">
        <v>3</v>
      </c>
      <c r="I260" s="15">
        <v>0.6</v>
      </c>
      <c r="J260" s="16">
        <v>45077</v>
      </c>
      <c r="K260" s="17">
        <f t="shared" ref="K260:K323" si="4">EDATE(J260,18)</f>
        <v>45626</v>
      </c>
      <c r="L260" s="13" t="s">
        <v>464</v>
      </c>
      <c r="M260" s="17"/>
      <c r="N260" s="17"/>
      <c r="O260" s="13"/>
      <c r="P260" s="18"/>
      <c r="Q260" s="17"/>
      <c r="R260" s="13"/>
      <c r="S260" s="13" t="s">
        <v>727</v>
      </c>
      <c r="T260" s="13" t="s">
        <v>1127</v>
      </c>
      <c r="U260" s="19">
        <v>1029679</v>
      </c>
      <c r="V260" s="20">
        <v>617807.4</v>
      </c>
      <c r="W260" s="20">
        <v>102967.90000000001</v>
      </c>
      <c r="X260" s="17">
        <v>45616</v>
      </c>
      <c r="Y260" s="13" t="s">
        <v>3</v>
      </c>
      <c r="Z260" s="13" t="s">
        <v>2</v>
      </c>
      <c r="AA260" s="13" t="s">
        <v>2</v>
      </c>
      <c r="AB260" s="13" t="s">
        <v>4</v>
      </c>
      <c r="AC260" s="13" t="s">
        <v>3</v>
      </c>
      <c r="AD260" s="13" t="s">
        <v>1258</v>
      </c>
      <c r="AE260" s="19">
        <v>6456427</v>
      </c>
      <c r="AF260" s="36">
        <v>3873856.1999999997</v>
      </c>
    </row>
    <row r="261" spans="1:32" x14ac:dyDescent="0.35">
      <c r="A261" s="34">
        <v>88096937889</v>
      </c>
      <c r="B261" s="13" t="s">
        <v>1268</v>
      </c>
      <c r="C261" s="13">
        <v>93958219253</v>
      </c>
      <c r="D261" s="13" t="s">
        <v>50</v>
      </c>
      <c r="E261" s="67" t="s">
        <v>58</v>
      </c>
      <c r="F261" s="13" t="s">
        <v>322</v>
      </c>
      <c r="G261" s="13" t="s">
        <v>462</v>
      </c>
      <c r="H261" s="13" t="s">
        <v>3</v>
      </c>
      <c r="I261" s="15">
        <v>0.6</v>
      </c>
      <c r="J261" s="16">
        <v>44949</v>
      </c>
      <c r="K261" s="17">
        <f t="shared" si="4"/>
        <v>45496</v>
      </c>
      <c r="L261" s="13" t="s">
        <v>464</v>
      </c>
      <c r="M261" s="17"/>
      <c r="N261" s="17"/>
      <c r="O261" s="13"/>
      <c r="P261" s="18"/>
      <c r="Q261" s="17"/>
      <c r="R261" s="13"/>
      <c r="S261" s="13" t="s">
        <v>728</v>
      </c>
      <c r="T261" s="13" t="s">
        <v>1128</v>
      </c>
      <c r="U261" s="19">
        <v>6456427</v>
      </c>
      <c r="V261" s="20">
        <v>3873856.1999999997</v>
      </c>
      <c r="W261" s="20">
        <v>645642.70000000007</v>
      </c>
      <c r="X261" s="17">
        <v>45485</v>
      </c>
      <c r="Y261" s="13" t="s">
        <v>3</v>
      </c>
      <c r="Z261" s="13" t="s">
        <v>2</v>
      </c>
      <c r="AA261" s="13" t="s">
        <v>2</v>
      </c>
      <c r="AB261" s="13" t="s">
        <v>3</v>
      </c>
      <c r="AC261" s="13" t="s">
        <v>3</v>
      </c>
      <c r="AD261" s="13" t="s">
        <v>1259</v>
      </c>
      <c r="AE261" s="19">
        <v>4077311</v>
      </c>
      <c r="AF261" s="36">
        <v>2446386.6</v>
      </c>
    </row>
    <row r="262" spans="1:32" x14ac:dyDescent="0.35">
      <c r="A262" s="34">
        <v>74405728499</v>
      </c>
      <c r="B262" s="13" t="s">
        <v>1268</v>
      </c>
      <c r="C262" s="13">
        <v>38062829296</v>
      </c>
      <c r="D262" s="13" t="s">
        <v>43</v>
      </c>
      <c r="E262" s="67" t="s">
        <v>51</v>
      </c>
      <c r="F262" s="13" t="s">
        <v>323</v>
      </c>
      <c r="G262" s="13" t="s">
        <v>462</v>
      </c>
      <c r="H262" s="13" t="s">
        <v>3</v>
      </c>
      <c r="I262" s="15">
        <v>0.7</v>
      </c>
      <c r="J262" s="16">
        <v>45092</v>
      </c>
      <c r="K262" s="17">
        <f t="shared" si="4"/>
        <v>45641</v>
      </c>
      <c r="L262" s="13" t="s">
        <v>464</v>
      </c>
      <c r="M262" s="17"/>
      <c r="N262" s="17"/>
      <c r="O262" s="13"/>
      <c r="P262" s="18"/>
      <c r="Q262" s="17"/>
      <c r="R262" s="13"/>
      <c r="S262" s="13" t="s">
        <v>729</v>
      </c>
      <c r="T262" s="13" t="s">
        <v>1129</v>
      </c>
      <c r="U262" s="19">
        <v>4077311</v>
      </c>
      <c r="V262" s="20">
        <v>2446386.6</v>
      </c>
      <c r="W262" s="20">
        <v>407731.10000000003</v>
      </c>
      <c r="X262" s="17">
        <v>45558</v>
      </c>
      <c r="Y262" s="13" t="s">
        <v>3</v>
      </c>
      <c r="Z262" s="13" t="s">
        <v>1258</v>
      </c>
      <c r="AA262" s="13" t="s">
        <v>1258</v>
      </c>
      <c r="AB262" s="13" t="s">
        <v>3</v>
      </c>
      <c r="AC262" s="13" t="s">
        <v>3</v>
      </c>
      <c r="AD262" s="13" t="s">
        <v>1258</v>
      </c>
      <c r="AE262" s="19">
        <v>1125009</v>
      </c>
      <c r="AF262" s="36">
        <v>675005.4</v>
      </c>
    </row>
    <row r="263" spans="1:32" x14ac:dyDescent="0.35">
      <c r="A263" s="34">
        <v>77970330377</v>
      </c>
      <c r="B263" s="13" t="s">
        <v>1268</v>
      </c>
      <c r="C263" s="13">
        <v>50423374199</v>
      </c>
      <c r="D263" s="13" t="s">
        <v>48</v>
      </c>
      <c r="E263" s="67" t="s">
        <v>57</v>
      </c>
      <c r="F263" s="13" t="s">
        <v>324</v>
      </c>
      <c r="G263" s="13" t="s">
        <v>462</v>
      </c>
      <c r="H263" s="13" t="s">
        <v>3</v>
      </c>
      <c r="I263" s="15">
        <v>0.6</v>
      </c>
      <c r="J263" s="16">
        <v>45102</v>
      </c>
      <c r="K263" s="17">
        <f t="shared" si="4"/>
        <v>45651</v>
      </c>
      <c r="L263" s="13" t="s">
        <v>464</v>
      </c>
      <c r="M263" s="17"/>
      <c r="N263" s="17"/>
      <c r="O263" s="13"/>
      <c r="P263" s="18"/>
      <c r="Q263" s="17"/>
      <c r="R263" s="13"/>
      <c r="S263" s="13" t="s">
        <v>730</v>
      </c>
      <c r="T263" s="13" t="s">
        <v>1130</v>
      </c>
      <c r="U263" s="19">
        <v>1125009</v>
      </c>
      <c r="V263" s="20">
        <v>675005.4</v>
      </c>
      <c r="W263" s="20">
        <v>112500.90000000001</v>
      </c>
      <c r="X263" s="17">
        <v>45602</v>
      </c>
      <c r="Y263" s="13" t="s">
        <v>3</v>
      </c>
      <c r="Z263" s="13" t="s">
        <v>1258</v>
      </c>
      <c r="AA263" s="13" t="s">
        <v>1258</v>
      </c>
      <c r="AB263" s="13" t="s">
        <v>3</v>
      </c>
      <c r="AC263" s="13" t="s">
        <v>3</v>
      </c>
      <c r="AD263" s="13" t="s">
        <v>1258</v>
      </c>
      <c r="AE263" s="19">
        <v>3958277</v>
      </c>
      <c r="AF263" s="36">
        <v>2374966.1999999997</v>
      </c>
    </row>
    <row r="264" spans="1:32" x14ac:dyDescent="0.35">
      <c r="A264" s="34">
        <v>21177546971</v>
      </c>
      <c r="B264" s="13" t="s">
        <v>1268</v>
      </c>
      <c r="C264" s="13">
        <v>48404050193</v>
      </c>
      <c r="D264" s="13" t="s">
        <v>46</v>
      </c>
      <c r="E264" s="67" t="s">
        <v>55</v>
      </c>
      <c r="F264" s="13" t="s">
        <v>325</v>
      </c>
      <c r="G264" s="13" t="s">
        <v>463</v>
      </c>
      <c r="H264" s="13" t="s">
        <v>4</v>
      </c>
      <c r="I264" s="15">
        <v>0.7</v>
      </c>
      <c r="J264" s="16">
        <v>45005</v>
      </c>
      <c r="K264" s="17">
        <f t="shared" si="4"/>
        <v>45555</v>
      </c>
      <c r="L264" s="13" t="s">
        <v>465</v>
      </c>
      <c r="M264" s="17">
        <v>45008</v>
      </c>
      <c r="N264" s="17">
        <v>45267</v>
      </c>
      <c r="O264" s="13" t="s">
        <v>470</v>
      </c>
      <c r="P264" s="18" t="s">
        <v>471</v>
      </c>
      <c r="Q264" s="17">
        <v>45484</v>
      </c>
      <c r="R264" s="13"/>
      <c r="S264" s="13" t="s">
        <v>731</v>
      </c>
      <c r="T264" s="13" t="s">
        <v>1131</v>
      </c>
      <c r="U264" s="19">
        <v>3958277</v>
      </c>
      <c r="V264" s="20">
        <v>2374966.1999999997</v>
      </c>
      <c r="W264" s="20">
        <v>395827.7</v>
      </c>
      <c r="X264" s="17">
        <v>45588</v>
      </c>
      <c r="Y264" s="13" t="s">
        <v>4</v>
      </c>
      <c r="Z264" s="13" t="s">
        <v>2</v>
      </c>
      <c r="AA264" s="13" t="s">
        <v>2</v>
      </c>
      <c r="AB264" s="13" t="s">
        <v>4</v>
      </c>
      <c r="AC264" s="13" t="s">
        <v>4</v>
      </c>
      <c r="AD264" s="13" t="s">
        <v>1259</v>
      </c>
      <c r="AE264" s="19">
        <v>5081350</v>
      </c>
      <c r="AF264" s="36">
        <v>3048810</v>
      </c>
    </row>
    <row r="265" spans="1:32" x14ac:dyDescent="0.35">
      <c r="A265" s="34">
        <v>73851315922</v>
      </c>
      <c r="B265" s="13" t="s">
        <v>1268</v>
      </c>
      <c r="C265" s="13">
        <v>69935117052</v>
      </c>
      <c r="D265" s="13" t="s">
        <v>42</v>
      </c>
      <c r="E265" s="67" t="s">
        <v>52</v>
      </c>
      <c r="F265" s="13" t="s">
        <v>326</v>
      </c>
      <c r="G265" s="13" t="s">
        <v>463</v>
      </c>
      <c r="H265" s="13" t="s">
        <v>3</v>
      </c>
      <c r="I265" s="15">
        <v>0.7</v>
      </c>
      <c r="J265" s="16">
        <v>44974</v>
      </c>
      <c r="K265" s="17">
        <f t="shared" si="4"/>
        <v>45521</v>
      </c>
      <c r="L265" s="13" t="s">
        <v>465</v>
      </c>
      <c r="M265" s="17">
        <v>45264</v>
      </c>
      <c r="N265" s="17">
        <v>45226</v>
      </c>
      <c r="O265" s="13" t="s">
        <v>470</v>
      </c>
      <c r="P265" s="18" t="s">
        <v>471</v>
      </c>
      <c r="Q265" s="17">
        <v>45644</v>
      </c>
      <c r="R265" s="13"/>
      <c r="S265" s="13" t="s">
        <v>732</v>
      </c>
      <c r="T265" s="13" t="s">
        <v>1132</v>
      </c>
      <c r="U265" s="19">
        <v>5081350</v>
      </c>
      <c r="V265" s="20">
        <v>3048810</v>
      </c>
      <c r="W265" s="20">
        <v>508135</v>
      </c>
      <c r="X265" s="17">
        <v>45502</v>
      </c>
      <c r="Y265" s="13" t="s">
        <v>3</v>
      </c>
      <c r="Z265" s="13" t="s">
        <v>2</v>
      </c>
      <c r="AA265" s="13" t="s">
        <v>2</v>
      </c>
      <c r="AB265" s="13" t="s">
        <v>3</v>
      </c>
      <c r="AC265" s="13" t="s">
        <v>3</v>
      </c>
      <c r="AD265" s="13" t="s">
        <v>1258</v>
      </c>
      <c r="AE265" s="19">
        <v>9315522</v>
      </c>
      <c r="AF265" s="36">
        <v>5589313.2000000002</v>
      </c>
    </row>
    <row r="266" spans="1:32" x14ac:dyDescent="0.35">
      <c r="A266" s="34">
        <v>43346224124</v>
      </c>
      <c r="B266" s="13" t="s">
        <v>1268</v>
      </c>
      <c r="C266" s="13">
        <v>35987321495</v>
      </c>
      <c r="D266" s="13" t="s">
        <v>44</v>
      </c>
      <c r="E266" s="67" t="s">
        <v>60</v>
      </c>
      <c r="F266" s="13" t="s">
        <v>327</v>
      </c>
      <c r="G266" s="13" t="s">
        <v>462</v>
      </c>
      <c r="H266" s="13" t="s">
        <v>3</v>
      </c>
      <c r="I266" s="15">
        <v>0.7</v>
      </c>
      <c r="J266" s="16">
        <v>45194</v>
      </c>
      <c r="K266" s="17">
        <f t="shared" si="4"/>
        <v>45741</v>
      </c>
      <c r="L266" s="13" t="s">
        <v>464</v>
      </c>
      <c r="M266" s="17"/>
      <c r="N266" s="17"/>
      <c r="O266" s="13"/>
      <c r="P266" s="18"/>
      <c r="Q266" s="17"/>
      <c r="R266" s="13"/>
      <c r="S266" s="13" t="s">
        <v>733</v>
      </c>
      <c r="T266" s="13" t="s">
        <v>1133</v>
      </c>
      <c r="U266" s="19">
        <v>9315522</v>
      </c>
      <c r="V266" s="20">
        <v>5589313.2000000002</v>
      </c>
      <c r="W266" s="20">
        <v>931552.20000000007</v>
      </c>
      <c r="X266" s="17">
        <v>45392</v>
      </c>
      <c r="Y266" s="13" t="s">
        <v>3</v>
      </c>
      <c r="Z266" s="13" t="s">
        <v>1258</v>
      </c>
      <c r="AA266" s="13" t="s">
        <v>1258</v>
      </c>
      <c r="AB266" s="13" t="s">
        <v>3</v>
      </c>
      <c r="AC266" s="13" t="s">
        <v>3</v>
      </c>
      <c r="AD266" s="13" t="s">
        <v>1258</v>
      </c>
      <c r="AE266" s="19">
        <v>9130311</v>
      </c>
      <c r="AF266" s="36">
        <v>5478186.5999999996</v>
      </c>
    </row>
    <row r="267" spans="1:32" x14ac:dyDescent="0.35">
      <c r="A267" s="34">
        <v>69115136934</v>
      </c>
      <c r="B267" s="13" t="s">
        <v>1268</v>
      </c>
      <c r="C267" s="13">
        <v>18846345290</v>
      </c>
      <c r="D267" s="13" t="s">
        <v>41</v>
      </c>
      <c r="E267" s="67" t="s">
        <v>59</v>
      </c>
      <c r="F267" s="13" t="s">
        <v>328</v>
      </c>
      <c r="G267" s="13" t="s">
        <v>462</v>
      </c>
      <c r="H267" s="13" t="s">
        <v>4</v>
      </c>
      <c r="I267" s="15">
        <v>0.6</v>
      </c>
      <c r="J267" s="16">
        <v>44959</v>
      </c>
      <c r="K267" s="17">
        <f t="shared" si="4"/>
        <v>45506</v>
      </c>
      <c r="L267" s="13" t="s">
        <v>465</v>
      </c>
      <c r="M267" s="17">
        <v>45082</v>
      </c>
      <c r="N267" s="17">
        <v>45324</v>
      </c>
      <c r="O267" s="13" t="s">
        <v>470</v>
      </c>
      <c r="P267" s="18" t="s">
        <v>471</v>
      </c>
      <c r="Q267" s="17">
        <v>45336</v>
      </c>
      <c r="R267" s="13"/>
      <c r="S267" s="13" t="s">
        <v>734</v>
      </c>
      <c r="T267" s="13" t="s">
        <v>1134</v>
      </c>
      <c r="U267" s="19">
        <v>9130311</v>
      </c>
      <c r="V267" s="20">
        <v>5478186.5999999996</v>
      </c>
      <c r="W267" s="20">
        <v>913031.10000000009</v>
      </c>
      <c r="X267" s="17">
        <v>45392</v>
      </c>
      <c r="Y267" s="13" t="s">
        <v>4</v>
      </c>
      <c r="Z267" s="13" t="s">
        <v>2</v>
      </c>
      <c r="AA267" s="13" t="s">
        <v>2</v>
      </c>
      <c r="AB267" s="13" t="s">
        <v>3</v>
      </c>
      <c r="AC267" s="13" t="s">
        <v>4</v>
      </c>
      <c r="AD267" s="13" t="s">
        <v>1259</v>
      </c>
      <c r="AE267" s="19">
        <v>3075756</v>
      </c>
      <c r="AF267" s="36">
        <v>1845453.5999999999</v>
      </c>
    </row>
    <row r="268" spans="1:32" x14ac:dyDescent="0.35">
      <c r="A268" s="34">
        <v>67680790347</v>
      </c>
      <c r="B268" s="13" t="s">
        <v>1268</v>
      </c>
      <c r="C268" s="13">
        <v>40324355634</v>
      </c>
      <c r="D268" s="13" t="s">
        <v>48</v>
      </c>
      <c r="E268" s="67" t="s">
        <v>59</v>
      </c>
      <c r="F268" s="13" t="s">
        <v>329</v>
      </c>
      <c r="G268" s="13" t="s">
        <v>463</v>
      </c>
      <c r="H268" s="13" t="s">
        <v>3</v>
      </c>
      <c r="I268" s="15">
        <v>0.6</v>
      </c>
      <c r="J268" s="16">
        <v>45168</v>
      </c>
      <c r="K268" s="17">
        <f t="shared" si="4"/>
        <v>45716</v>
      </c>
      <c r="L268" s="13" t="s">
        <v>465</v>
      </c>
      <c r="M268" s="17">
        <v>45149</v>
      </c>
      <c r="N268" s="17">
        <v>45329</v>
      </c>
      <c r="O268" s="13" t="s">
        <v>470</v>
      </c>
      <c r="P268" s="18" t="s">
        <v>471</v>
      </c>
      <c r="Q268" s="17">
        <v>45327</v>
      </c>
      <c r="R268" s="13"/>
      <c r="S268" s="13" t="s">
        <v>735</v>
      </c>
      <c r="T268" s="13" t="s">
        <v>1135</v>
      </c>
      <c r="U268" s="19">
        <v>3075756</v>
      </c>
      <c r="V268" s="20">
        <v>1845453.5999999999</v>
      </c>
      <c r="W268" s="20">
        <v>307575.60000000003</v>
      </c>
      <c r="X268" s="17">
        <v>45354</v>
      </c>
      <c r="Y268" s="13" t="s">
        <v>3</v>
      </c>
      <c r="Z268" s="13" t="s">
        <v>1258</v>
      </c>
      <c r="AA268" s="13" t="s">
        <v>1258</v>
      </c>
      <c r="AB268" s="13" t="s">
        <v>4</v>
      </c>
      <c r="AC268" s="13" t="s">
        <v>3</v>
      </c>
      <c r="AD268" s="13" t="s">
        <v>1258</v>
      </c>
      <c r="AE268" s="19">
        <v>8139032</v>
      </c>
      <c r="AF268" s="36">
        <v>4883419.2</v>
      </c>
    </row>
    <row r="269" spans="1:32" x14ac:dyDescent="0.35">
      <c r="A269" s="34">
        <v>16570229764</v>
      </c>
      <c r="B269" s="13" t="s">
        <v>1268</v>
      </c>
      <c r="C269" s="13">
        <v>42399802527</v>
      </c>
      <c r="D269" s="13" t="s">
        <v>42</v>
      </c>
      <c r="E269" s="67" t="s">
        <v>60</v>
      </c>
      <c r="F269" s="13" t="s">
        <v>330</v>
      </c>
      <c r="G269" s="13" t="s">
        <v>462</v>
      </c>
      <c r="H269" s="13" t="s">
        <v>4</v>
      </c>
      <c r="I269" s="15">
        <v>0.6</v>
      </c>
      <c r="J269" s="16">
        <v>45183</v>
      </c>
      <c r="K269" s="17">
        <f t="shared" si="4"/>
        <v>45730</v>
      </c>
      <c r="L269" s="13" t="s">
        <v>464</v>
      </c>
      <c r="M269" s="17"/>
      <c r="N269" s="17"/>
      <c r="O269" s="13"/>
      <c r="P269" s="18"/>
      <c r="Q269" s="17"/>
      <c r="R269" s="13"/>
      <c r="S269" s="13" t="s">
        <v>736</v>
      </c>
      <c r="T269" s="13" t="s">
        <v>1136</v>
      </c>
      <c r="U269" s="19">
        <v>8139032</v>
      </c>
      <c r="V269" s="20">
        <v>4883419.2</v>
      </c>
      <c r="W269" s="20">
        <v>813903.20000000007</v>
      </c>
      <c r="X269" s="17">
        <v>45486</v>
      </c>
      <c r="Y269" s="13" t="s">
        <v>4</v>
      </c>
      <c r="Z269" s="13" t="s">
        <v>2</v>
      </c>
      <c r="AA269" s="13" t="s">
        <v>2</v>
      </c>
      <c r="AB269" s="13" t="s">
        <v>4</v>
      </c>
      <c r="AC269" s="13" t="s">
        <v>4</v>
      </c>
      <c r="AD269" s="13" t="s">
        <v>1258</v>
      </c>
      <c r="AE269" s="19">
        <v>3986917</v>
      </c>
      <c r="AF269" s="36">
        <v>2392150.1999999997</v>
      </c>
    </row>
    <row r="270" spans="1:32" x14ac:dyDescent="0.35">
      <c r="A270" s="34">
        <v>54174105498</v>
      </c>
      <c r="B270" s="13" t="s">
        <v>1268</v>
      </c>
      <c r="C270" s="13">
        <v>21651945398</v>
      </c>
      <c r="D270" s="13" t="s">
        <v>41</v>
      </c>
      <c r="E270" s="67" t="s">
        <v>57</v>
      </c>
      <c r="F270" s="13" t="s">
        <v>331</v>
      </c>
      <c r="G270" s="13" t="s">
        <v>463</v>
      </c>
      <c r="H270" s="13" t="s">
        <v>4</v>
      </c>
      <c r="I270" s="15">
        <v>0.7</v>
      </c>
      <c r="J270" s="16">
        <v>45256</v>
      </c>
      <c r="K270" s="17">
        <f t="shared" si="4"/>
        <v>45803</v>
      </c>
      <c r="L270" s="13" t="s">
        <v>464</v>
      </c>
      <c r="M270" s="17"/>
      <c r="N270" s="17"/>
      <c r="O270" s="13"/>
      <c r="P270" s="18"/>
      <c r="Q270" s="17"/>
      <c r="R270" s="13"/>
      <c r="S270" s="13" t="s">
        <v>737</v>
      </c>
      <c r="T270" s="13" t="s">
        <v>1137</v>
      </c>
      <c r="U270" s="19">
        <v>3986917</v>
      </c>
      <c r="V270" s="20">
        <v>2392150.1999999997</v>
      </c>
      <c r="W270" s="20">
        <v>398691.7</v>
      </c>
      <c r="X270" s="17">
        <v>45575</v>
      </c>
      <c r="Y270" s="13" t="s">
        <v>4</v>
      </c>
      <c r="Z270" s="13" t="s">
        <v>1258</v>
      </c>
      <c r="AA270" s="13" t="s">
        <v>1258</v>
      </c>
      <c r="AB270" s="13" t="s">
        <v>3</v>
      </c>
      <c r="AC270" s="13" t="s">
        <v>4</v>
      </c>
      <c r="AD270" s="13" t="s">
        <v>1258</v>
      </c>
      <c r="AE270" s="19">
        <v>1354562</v>
      </c>
      <c r="AF270" s="36">
        <v>812737.2</v>
      </c>
    </row>
    <row r="271" spans="1:32" x14ac:dyDescent="0.35">
      <c r="A271" s="34">
        <v>37992849148</v>
      </c>
      <c r="B271" s="13" t="s">
        <v>1268</v>
      </c>
      <c r="C271" s="13">
        <v>85755301259</v>
      </c>
      <c r="D271" s="13" t="s">
        <v>42</v>
      </c>
      <c r="E271" s="67" t="s">
        <v>60</v>
      </c>
      <c r="F271" s="13" t="s">
        <v>332</v>
      </c>
      <c r="G271" s="13" t="s">
        <v>463</v>
      </c>
      <c r="H271" s="13" t="s">
        <v>4</v>
      </c>
      <c r="I271" s="15">
        <v>0.5</v>
      </c>
      <c r="J271" s="16">
        <v>45026</v>
      </c>
      <c r="K271" s="17">
        <f t="shared" si="4"/>
        <v>45575</v>
      </c>
      <c r="L271" s="13" t="s">
        <v>465</v>
      </c>
      <c r="M271" s="17">
        <v>45209</v>
      </c>
      <c r="N271" s="17">
        <v>45146</v>
      </c>
      <c r="O271" s="13" t="s">
        <v>470</v>
      </c>
      <c r="P271" s="18" t="s">
        <v>471</v>
      </c>
      <c r="Q271" s="17">
        <v>45331</v>
      </c>
      <c r="R271" s="13"/>
      <c r="S271" s="13" t="s">
        <v>738</v>
      </c>
      <c r="T271" s="13" t="s">
        <v>1138</v>
      </c>
      <c r="U271" s="19">
        <v>1354562</v>
      </c>
      <c r="V271" s="20">
        <v>812737.2</v>
      </c>
      <c r="W271" s="20">
        <v>135456.20000000001</v>
      </c>
      <c r="X271" s="17">
        <v>45568</v>
      </c>
      <c r="Y271" s="13" t="s">
        <v>4</v>
      </c>
      <c r="Z271" s="13" t="s">
        <v>1258</v>
      </c>
      <c r="AA271" s="13" t="s">
        <v>1258</v>
      </c>
      <c r="AB271" s="13" t="s">
        <v>3</v>
      </c>
      <c r="AC271" s="13" t="s">
        <v>4</v>
      </c>
      <c r="AD271" s="13" t="s">
        <v>1258</v>
      </c>
      <c r="AE271" s="19">
        <v>8522626</v>
      </c>
      <c r="AF271" s="36">
        <v>5113575.5999999996</v>
      </c>
    </row>
    <row r="272" spans="1:32" x14ac:dyDescent="0.35">
      <c r="A272" s="34">
        <v>33209877012</v>
      </c>
      <c r="B272" s="13" t="s">
        <v>1268</v>
      </c>
      <c r="C272" s="13">
        <v>43985888949</v>
      </c>
      <c r="D272" s="13" t="s">
        <v>49</v>
      </c>
      <c r="E272" s="67" t="s">
        <v>57</v>
      </c>
      <c r="F272" s="13" t="s">
        <v>333</v>
      </c>
      <c r="G272" s="13" t="s">
        <v>462</v>
      </c>
      <c r="H272" s="13" t="s">
        <v>3</v>
      </c>
      <c r="I272" s="15">
        <v>0.7</v>
      </c>
      <c r="J272" s="16">
        <v>45286</v>
      </c>
      <c r="K272" s="17">
        <f t="shared" si="4"/>
        <v>45834</v>
      </c>
      <c r="L272" s="13" t="s">
        <v>465</v>
      </c>
      <c r="M272" s="17">
        <v>45071</v>
      </c>
      <c r="N272" s="17">
        <v>45337</v>
      </c>
      <c r="O272" s="13" t="s">
        <v>468</v>
      </c>
      <c r="P272" s="18" t="s">
        <v>469</v>
      </c>
      <c r="Q272" s="17">
        <v>45447</v>
      </c>
      <c r="R272" s="13"/>
      <c r="S272" s="13" t="s">
        <v>739</v>
      </c>
      <c r="T272" s="13" t="s">
        <v>1139</v>
      </c>
      <c r="U272" s="19">
        <v>8522626</v>
      </c>
      <c r="V272" s="20">
        <v>5113575.5999999996</v>
      </c>
      <c r="W272" s="20">
        <v>852262.60000000009</v>
      </c>
      <c r="X272" s="17">
        <v>45480</v>
      </c>
      <c r="Y272" s="13" t="s">
        <v>3</v>
      </c>
      <c r="Z272" s="13" t="s">
        <v>2</v>
      </c>
      <c r="AA272" s="13" t="s">
        <v>2</v>
      </c>
      <c r="AB272" s="13" t="s">
        <v>3</v>
      </c>
      <c r="AC272" s="13" t="s">
        <v>3</v>
      </c>
      <c r="AD272" s="13" t="s">
        <v>1258</v>
      </c>
      <c r="AE272" s="19">
        <v>6750847</v>
      </c>
      <c r="AF272" s="36">
        <v>4050508.1999999997</v>
      </c>
    </row>
    <row r="273" spans="1:32" x14ac:dyDescent="0.35">
      <c r="A273" s="34">
        <v>51589524620</v>
      </c>
      <c r="B273" s="13" t="s">
        <v>1268</v>
      </c>
      <c r="C273" s="13">
        <v>53527391217</v>
      </c>
      <c r="D273" s="13" t="s">
        <v>50</v>
      </c>
      <c r="E273" s="67" t="s">
        <v>53</v>
      </c>
      <c r="F273" s="13" t="s">
        <v>334</v>
      </c>
      <c r="G273" s="13" t="s">
        <v>462</v>
      </c>
      <c r="H273" s="13" t="s">
        <v>4</v>
      </c>
      <c r="I273" s="15">
        <v>0.6</v>
      </c>
      <c r="J273" s="16">
        <v>45028</v>
      </c>
      <c r="K273" s="17">
        <f t="shared" si="4"/>
        <v>45577</v>
      </c>
      <c r="L273" s="13" t="s">
        <v>464</v>
      </c>
      <c r="M273" s="17"/>
      <c r="N273" s="17"/>
      <c r="O273" s="13"/>
      <c r="P273" s="18"/>
      <c r="Q273" s="17"/>
      <c r="R273" s="13"/>
      <c r="S273" s="13" t="s">
        <v>740</v>
      </c>
      <c r="T273" s="13" t="s">
        <v>1140</v>
      </c>
      <c r="U273" s="19">
        <v>6750847</v>
      </c>
      <c r="V273" s="20">
        <v>4050508.1999999997</v>
      </c>
      <c r="W273" s="20">
        <v>675084.70000000007</v>
      </c>
      <c r="X273" s="17">
        <v>45542</v>
      </c>
      <c r="Y273" s="13" t="s">
        <v>4</v>
      </c>
      <c r="Z273" s="13" t="s">
        <v>1258</v>
      </c>
      <c r="AA273" s="13" t="s">
        <v>1258</v>
      </c>
      <c r="AB273" s="13" t="s">
        <v>3</v>
      </c>
      <c r="AC273" s="13" t="s">
        <v>4</v>
      </c>
      <c r="AD273" s="13" t="s">
        <v>1258</v>
      </c>
      <c r="AE273" s="19">
        <v>1709364</v>
      </c>
      <c r="AF273" s="36">
        <v>1025618.3999999999</v>
      </c>
    </row>
    <row r="274" spans="1:32" x14ac:dyDescent="0.35">
      <c r="A274" s="34">
        <v>80556474181</v>
      </c>
      <c r="B274" s="13" t="s">
        <v>1268</v>
      </c>
      <c r="C274" s="13">
        <v>30080828538</v>
      </c>
      <c r="D274" s="13" t="s">
        <v>47</v>
      </c>
      <c r="E274" s="67" t="s">
        <v>52</v>
      </c>
      <c r="F274" s="13" t="s">
        <v>335</v>
      </c>
      <c r="G274" s="13" t="s">
        <v>462</v>
      </c>
      <c r="H274" s="13" t="s">
        <v>3</v>
      </c>
      <c r="I274" s="15">
        <v>0.6</v>
      </c>
      <c r="J274" s="16">
        <v>45283</v>
      </c>
      <c r="K274" s="17">
        <f t="shared" si="4"/>
        <v>45831</v>
      </c>
      <c r="L274" s="13" t="s">
        <v>464</v>
      </c>
      <c r="M274" s="17"/>
      <c r="N274" s="17"/>
      <c r="O274" s="13"/>
      <c r="P274" s="18"/>
      <c r="Q274" s="17"/>
      <c r="R274" s="13"/>
      <c r="S274" s="13" t="s">
        <v>741</v>
      </c>
      <c r="T274" s="13" t="s">
        <v>1141</v>
      </c>
      <c r="U274" s="19">
        <v>1709364</v>
      </c>
      <c r="V274" s="20">
        <v>1025618.3999999999</v>
      </c>
      <c r="W274" s="20">
        <v>170936.40000000002</v>
      </c>
      <c r="X274" s="17">
        <v>45569</v>
      </c>
      <c r="Y274" s="13" t="s">
        <v>3</v>
      </c>
      <c r="Z274" s="13" t="s">
        <v>1258</v>
      </c>
      <c r="AA274" s="13" t="s">
        <v>1258</v>
      </c>
      <c r="AB274" s="13" t="s">
        <v>3</v>
      </c>
      <c r="AC274" s="13" t="s">
        <v>3</v>
      </c>
      <c r="AD274" s="13" t="s">
        <v>1259</v>
      </c>
      <c r="AE274" s="19">
        <v>8145625</v>
      </c>
      <c r="AF274" s="36">
        <v>4887375</v>
      </c>
    </row>
    <row r="275" spans="1:32" x14ac:dyDescent="0.35">
      <c r="A275" s="34">
        <v>71552919938</v>
      </c>
      <c r="B275" s="13" t="s">
        <v>1268</v>
      </c>
      <c r="C275" s="13">
        <v>23141169340</v>
      </c>
      <c r="D275" s="13" t="s">
        <v>41</v>
      </c>
      <c r="E275" s="67" t="s">
        <v>57</v>
      </c>
      <c r="F275" s="13" t="s">
        <v>336</v>
      </c>
      <c r="G275" s="13" t="s">
        <v>462</v>
      </c>
      <c r="H275" s="13" t="s">
        <v>3</v>
      </c>
      <c r="I275" s="15">
        <v>0.6</v>
      </c>
      <c r="J275" s="16">
        <v>45231</v>
      </c>
      <c r="K275" s="17">
        <f t="shared" si="4"/>
        <v>45778</v>
      </c>
      <c r="L275" s="13" t="s">
        <v>465</v>
      </c>
      <c r="M275" s="17">
        <v>45019</v>
      </c>
      <c r="N275" s="17">
        <v>45239</v>
      </c>
      <c r="O275" s="13" t="s">
        <v>468</v>
      </c>
      <c r="P275" s="18" t="s">
        <v>469</v>
      </c>
      <c r="Q275" s="17">
        <v>45580</v>
      </c>
      <c r="R275" s="13"/>
      <c r="S275" s="13" t="s">
        <v>565</v>
      </c>
      <c r="T275" s="13" t="s">
        <v>1142</v>
      </c>
      <c r="U275" s="19">
        <v>8145625</v>
      </c>
      <c r="V275" s="20">
        <v>4887375</v>
      </c>
      <c r="W275" s="20">
        <v>814562.5</v>
      </c>
      <c r="X275" s="17">
        <v>45555</v>
      </c>
      <c r="Y275" s="13" t="s">
        <v>3</v>
      </c>
      <c r="Z275" s="13" t="s">
        <v>2</v>
      </c>
      <c r="AA275" s="13" t="s">
        <v>2</v>
      </c>
      <c r="AB275" s="13" t="s">
        <v>3</v>
      </c>
      <c r="AC275" s="13" t="s">
        <v>3</v>
      </c>
      <c r="AD275" s="13" t="s">
        <v>1258</v>
      </c>
      <c r="AE275" s="19">
        <v>4917603</v>
      </c>
      <c r="AF275" s="36">
        <v>2950561.8</v>
      </c>
    </row>
    <row r="276" spans="1:32" x14ac:dyDescent="0.35">
      <c r="A276" s="34">
        <v>80826905335</v>
      </c>
      <c r="B276" s="13" t="s">
        <v>1268</v>
      </c>
      <c r="C276" s="13">
        <v>74183697329</v>
      </c>
      <c r="D276" s="13" t="s">
        <v>42</v>
      </c>
      <c r="E276" s="67" t="s">
        <v>54</v>
      </c>
      <c r="F276" s="13" t="s">
        <v>337</v>
      </c>
      <c r="G276" s="13" t="s">
        <v>463</v>
      </c>
      <c r="H276" s="13" t="s">
        <v>3</v>
      </c>
      <c r="I276" s="15">
        <v>0.6</v>
      </c>
      <c r="J276" s="16">
        <v>44975</v>
      </c>
      <c r="K276" s="17">
        <f t="shared" si="4"/>
        <v>45522</v>
      </c>
      <c r="L276" s="13" t="s">
        <v>464</v>
      </c>
      <c r="M276" s="17"/>
      <c r="N276" s="17"/>
      <c r="O276" s="13"/>
      <c r="P276" s="18"/>
      <c r="Q276" s="17"/>
      <c r="R276" s="13"/>
      <c r="S276" s="13" t="s">
        <v>742</v>
      </c>
      <c r="T276" s="13" t="s">
        <v>1143</v>
      </c>
      <c r="U276" s="19">
        <v>4917603</v>
      </c>
      <c r="V276" s="20">
        <v>2950561.8</v>
      </c>
      <c r="W276" s="20">
        <v>491760.30000000005</v>
      </c>
      <c r="X276" s="17">
        <v>45499</v>
      </c>
      <c r="Y276" s="13" t="s">
        <v>3</v>
      </c>
      <c r="Z276" s="13" t="s">
        <v>2</v>
      </c>
      <c r="AA276" s="13" t="s">
        <v>2</v>
      </c>
      <c r="AB276" s="13" t="s">
        <v>3</v>
      </c>
      <c r="AC276" s="13" t="s">
        <v>3</v>
      </c>
      <c r="AD276" s="13" t="s">
        <v>1259</v>
      </c>
      <c r="AE276" s="19">
        <v>5593355</v>
      </c>
      <c r="AF276" s="36">
        <v>3356013</v>
      </c>
    </row>
    <row r="277" spans="1:32" x14ac:dyDescent="0.35">
      <c r="A277" s="34">
        <v>91068954865</v>
      </c>
      <c r="B277" s="13" t="s">
        <v>1268</v>
      </c>
      <c r="C277" s="13">
        <v>64141412038</v>
      </c>
      <c r="D277" s="13" t="s">
        <v>41</v>
      </c>
      <c r="E277" s="67" t="s">
        <v>59</v>
      </c>
      <c r="F277" s="13" t="s">
        <v>338</v>
      </c>
      <c r="G277" s="13" t="s">
        <v>462</v>
      </c>
      <c r="H277" s="13" t="s">
        <v>4</v>
      </c>
      <c r="I277" s="15">
        <v>0.6</v>
      </c>
      <c r="J277" s="16">
        <v>45179</v>
      </c>
      <c r="K277" s="17">
        <f t="shared" si="4"/>
        <v>45726</v>
      </c>
      <c r="L277" s="13" t="s">
        <v>465</v>
      </c>
      <c r="M277" s="17">
        <v>45068</v>
      </c>
      <c r="N277" s="17">
        <v>45405</v>
      </c>
      <c r="O277" s="13" t="s">
        <v>470</v>
      </c>
      <c r="P277" s="18" t="s">
        <v>469</v>
      </c>
      <c r="Q277" s="17">
        <v>45311</v>
      </c>
      <c r="R277" s="13"/>
      <c r="S277" s="13" t="s">
        <v>743</v>
      </c>
      <c r="T277" s="13" t="s">
        <v>1144</v>
      </c>
      <c r="U277" s="19">
        <v>5593355</v>
      </c>
      <c r="V277" s="20">
        <v>3356013</v>
      </c>
      <c r="W277" s="20">
        <v>559335.5</v>
      </c>
      <c r="X277" s="17">
        <v>45363</v>
      </c>
      <c r="Y277" s="13" t="s">
        <v>4</v>
      </c>
      <c r="Z277" s="13" t="s">
        <v>2</v>
      </c>
      <c r="AA277" s="13" t="s">
        <v>2</v>
      </c>
      <c r="AB277" s="13" t="s">
        <v>4</v>
      </c>
      <c r="AC277" s="13" t="s">
        <v>4</v>
      </c>
      <c r="AD277" s="13" t="s">
        <v>1259</v>
      </c>
      <c r="AE277" s="19">
        <v>1118553</v>
      </c>
      <c r="AF277" s="36">
        <v>671131.79999999993</v>
      </c>
    </row>
    <row r="278" spans="1:32" x14ac:dyDescent="0.35">
      <c r="A278" s="34">
        <v>72927076344</v>
      </c>
      <c r="B278" s="13" t="s">
        <v>1268</v>
      </c>
      <c r="C278" s="13">
        <v>55435199332</v>
      </c>
      <c r="D278" s="13" t="s">
        <v>41</v>
      </c>
      <c r="E278" s="67" t="s">
        <v>55</v>
      </c>
      <c r="F278" s="13" t="s">
        <v>339</v>
      </c>
      <c r="G278" s="13" t="s">
        <v>462</v>
      </c>
      <c r="H278" s="13" t="s">
        <v>3</v>
      </c>
      <c r="I278" s="15">
        <v>0.6</v>
      </c>
      <c r="J278" s="16">
        <v>45029</v>
      </c>
      <c r="K278" s="17">
        <f t="shared" si="4"/>
        <v>45578</v>
      </c>
      <c r="L278" s="13" t="s">
        <v>465</v>
      </c>
      <c r="M278" s="17">
        <v>45133</v>
      </c>
      <c r="N278" s="17">
        <v>45234</v>
      </c>
      <c r="O278" s="13" t="s">
        <v>468</v>
      </c>
      <c r="P278" s="18" t="s">
        <v>469</v>
      </c>
      <c r="Q278" s="17">
        <v>45374</v>
      </c>
      <c r="R278" s="13"/>
      <c r="S278" s="13" t="s">
        <v>744</v>
      </c>
      <c r="T278" s="13" t="s">
        <v>1145</v>
      </c>
      <c r="U278" s="19">
        <v>1118553</v>
      </c>
      <c r="V278" s="20">
        <v>671131.79999999993</v>
      </c>
      <c r="W278" s="20">
        <v>111855.3</v>
      </c>
      <c r="X278" s="17">
        <v>45425</v>
      </c>
      <c r="Y278" s="13" t="s">
        <v>3</v>
      </c>
      <c r="Z278" s="13" t="s">
        <v>2</v>
      </c>
      <c r="AA278" s="13" t="s">
        <v>2</v>
      </c>
      <c r="AB278" s="13" t="s">
        <v>3</v>
      </c>
      <c r="AC278" s="13" t="s">
        <v>3</v>
      </c>
      <c r="AD278" s="13" t="s">
        <v>1259</v>
      </c>
      <c r="AE278" s="19">
        <v>8859921</v>
      </c>
      <c r="AF278" s="36">
        <v>5315952.5999999996</v>
      </c>
    </row>
    <row r="279" spans="1:32" x14ac:dyDescent="0.35">
      <c r="A279" s="34">
        <v>22289009285</v>
      </c>
      <c r="B279" s="13" t="s">
        <v>1268</v>
      </c>
      <c r="C279" s="13">
        <v>17908089533</v>
      </c>
      <c r="D279" s="13" t="s">
        <v>46</v>
      </c>
      <c r="E279" s="67" t="s">
        <v>56</v>
      </c>
      <c r="F279" s="13" t="s">
        <v>340</v>
      </c>
      <c r="G279" s="13" t="s">
        <v>463</v>
      </c>
      <c r="H279" s="13" t="s">
        <v>4</v>
      </c>
      <c r="I279" s="15">
        <v>0.6</v>
      </c>
      <c r="J279" s="16">
        <v>45072</v>
      </c>
      <c r="K279" s="17">
        <f t="shared" si="4"/>
        <v>45622</v>
      </c>
      <c r="L279" s="13" t="s">
        <v>464</v>
      </c>
      <c r="M279" s="17"/>
      <c r="N279" s="17"/>
      <c r="O279" s="13"/>
      <c r="P279" s="18"/>
      <c r="Q279" s="17"/>
      <c r="R279" s="13"/>
      <c r="S279" s="13" t="s">
        <v>745</v>
      </c>
      <c r="T279" s="13" t="s">
        <v>873</v>
      </c>
      <c r="U279" s="19">
        <v>8859921</v>
      </c>
      <c r="V279" s="20">
        <v>5315952.5999999996</v>
      </c>
      <c r="W279" s="20">
        <v>885992.10000000009</v>
      </c>
      <c r="X279" s="17">
        <v>45548</v>
      </c>
      <c r="Y279" s="13" t="s">
        <v>4</v>
      </c>
      <c r="Z279" s="13" t="s">
        <v>1258</v>
      </c>
      <c r="AA279" s="13" t="s">
        <v>1258</v>
      </c>
      <c r="AB279" s="13" t="s">
        <v>4</v>
      </c>
      <c r="AC279" s="13" t="s">
        <v>4</v>
      </c>
      <c r="AD279" s="13" t="s">
        <v>1259</v>
      </c>
      <c r="AE279" s="19">
        <v>3944900</v>
      </c>
      <c r="AF279" s="36">
        <v>2366940</v>
      </c>
    </row>
    <row r="280" spans="1:32" x14ac:dyDescent="0.35">
      <c r="A280" s="34">
        <v>55434702409</v>
      </c>
      <c r="B280" s="13" t="s">
        <v>1268</v>
      </c>
      <c r="C280" s="13">
        <v>56879493107</v>
      </c>
      <c r="D280" s="13" t="s">
        <v>50</v>
      </c>
      <c r="E280" s="67" t="s">
        <v>56</v>
      </c>
      <c r="F280" s="13" t="s">
        <v>341</v>
      </c>
      <c r="G280" s="13" t="s">
        <v>463</v>
      </c>
      <c r="H280" s="13" t="s">
        <v>3</v>
      </c>
      <c r="I280" s="15">
        <v>0.6</v>
      </c>
      <c r="J280" s="16">
        <v>44955</v>
      </c>
      <c r="K280" s="17">
        <f t="shared" si="4"/>
        <v>45502</v>
      </c>
      <c r="L280" s="13" t="s">
        <v>465</v>
      </c>
      <c r="M280" s="17">
        <v>44934</v>
      </c>
      <c r="N280" s="17">
        <v>45149</v>
      </c>
      <c r="O280" s="13" t="s">
        <v>470</v>
      </c>
      <c r="P280" s="18" t="s">
        <v>471</v>
      </c>
      <c r="Q280" s="17">
        <v>45468</v>
      </c>
      <c r="R280" s="13"/>
      <c r="S280" s="13" t="s">
        <v>746</v>
      </c>
      <c r="T280" s="13" t="s">
        <v>1146</v>
      </c>
      <c r="U280" s="19">
        <v>3944900</v>
      </c>
      <c r="V280" s="20">
        <v>2366940</v>
      </c>
      <c r="W280" s="20">
        <v>394490</v>
      </c>
      <c r="X280" s="17">
        <v>45609</v>
      </c>
      <c r="Y280" s="13" t="s">
        <v>3</v>
      </c>
      <c r="Z280" s="13" t="s">
        <v>1258</v>
      </c>
      <c r="AA280" s="13" t="s">
        <v>1258</v>
      </c>
      <c r="AB280" s="13" t="s">
        <v>3</v>
      </c>
      <c r="AC280" s="13" t="s">
        <v>3</v>
      </c>
      <c r="AD280" s="13" t="s">
        <v>1258</v>
      </c>
      <c r="AE280" s="19">
        <v>6682626</v>
      </c>
      <c r="AF280" s="36">
        <v>4009575.5999999996</v>
      </c>
    </row>
    <row r="281" spans="1:32" x14ac:dyDescent="0.35">
      <c r="A281" s="34">
        <v>65747139759</v>
      </c>
      <c r="B281" s="13" t="s">
        <v>1268</v>
      </c>
      <c r="C281" s="13">
        <v>15619555688</v>
      </c>
      <c r="D281" s="13" t="s">
        <v>44</v>
      </c>
      <c r="E281" s="67" t="s">
        <v>55</v>
      </c>
      <c r="F281" s="13" t="s">
        <v>342</v>
      </c>
      <c r="G281" s="13" t="s">
        <v>463</v>
      </c>
      <c r="H281" s="13" t="s">
        <v>3</v>
      </c>
      <c r="I281" s="15">
        <v>0.6</v>
      </c>
      <c r="J281" s="16">
        <v>44973</v>
      </c>
      <c r="K281" s="17">
        <f t="shared" si="4"/>
        <v>45520</v>
      </c>
      <c r="L281" s="13" t="s">
        <v>464</v>
      </c>
      <c r="M281" s="17"/>
      <c r="N281" s="17"/>
      <c r="O281" s="13"/>
      <c r="P281" s="18"/>
      <c r="Q281" s="17"/>
      <c r="R281" s="13"/>
      <c r="S281" s="13" t="s">
        <v>747</v>
      </c>
      <c r="T281" s="13" t="s">
        <v>1147</v>
      </c>
      <c r="U281" s="19">
        <v>6682626</v>
      </c>
      <c r="V281" s="20">
        <v>4009575.5999999996</v>
      </c>
      <c r="W281" s="20">
        <v>668262.60000000009</v>
      </c>
      <c r="X281" s="17">
        <v>45345</v>
      </c>
      <c r="Y281" s="13" t="s">
        <v>3</v>
      </c>
      <c r="Z281" s="13" t="s">
        <v>1258</v>
      </c>
      <c r="AA281" s="13" t="s">
        <v>1258</v>
      </c>
      <c r="AB281" s="13" t="s">
        <v>4</v>
      </c>
      <c r="AC281" s="13" t="s">
        <v>3</v>
      </c>
      <c r="AD281" s="13" t="s">
        <v>1259</v>
      </c>
      <c r="AE281" s="19">
        <v>1259035</v>
      </c>
      <c r="AF281" s="36">
        <v>755421</v>
      </c>
    </row>
    <row r="282" spans="1:32" x14ac:dyDescent="0.35">
      <c r="A282" s="34">
        <v>91674386474</v>
      </c>
      <c r="B282" s="13" t="s">
        <v>1268</v>
      </c>
      <c r="C282" s="13">
        <v>94866596753</v>
      </c>
      <c r="D282" s="13" t="s">
        <v>43</v>
      </c>
      <c r="E282" s="67" t="s">
        <v>56</v>
      </c>
      <c r="F282" s="13" t="s">
        <v>343</v>
      </c>
      <c r="G282" s="13" t="s">
        <v>463</v>
      </c>
      <c r="H282" s="13" t="s">
        <v>3</v>
      </c>
      <c r="I282" s="15">
        <v>0.6</v>
      </c>
      <c r="J282" s="16">
        <v>45130</v>
      </c>
      <c r="K282" s="17">
        <f t="shared" si="4"/>
        <v>45680</v>
      </c>
      <c r="L282" s="13" t="s">
        <v>464</v>
      </c>
      <c r="M282" s="17"/>
      <c r="N282" s="17"/>
      <c r="O282" s="13"/>
      <c r="P282" s="18"/>
      <c r="Q282" s="17"/>
      <c r="R282" s="13"/>
      <c r="S282" s="13" t="s">
        <v>748</v>
      </c>
      <c r="T282" s="13" t="s">
        <v>1148</v>
      </c>
      <c r="U282" s="19">
        <v>1259035</v>
      </c>
      <c r="V282" s="20">
        <v>755421</v>
      </c>
      <c r="W282" s="20">
        <v>125903.5</v>
      </c>
      <c r="X282" s="17">
        <v>45554</v>
      </c>
      <c r="Y282" s="13" t="s">
        <v>3</v>
      </c>
      <c r="Z282" s="13" t="s">
        <v>2</v>
      </c>
      <c r="AA282" s="13" t="s">
        <v>2</v>
      </c>
      <c r="AB282" s="13" t="s">
        <v>3</v>
      </c>
      <c r="AC282" s="13" t="s">
        <v>3</v>
      </c>
      <c r="AD282" s="13" t="s">
        <v>1259</v>
      </c>
      <c r="AE282" s="19">
        <v>2424804</v>
      </c>
      <c r="AF282" s="36">
        <v>1454882.4</v>
      </c>
    </row>
    <row r="283" spans="1:32" x14ac:dyDescent="0.35">
      <c r="A283" s="34">
        <v>15858244544</v>
      </c>
      <c r="B283" s="13" t="s">
        <v>1268</v>
      </c>
      <c r="C283" s="13">
        <v>14822737470</v>
      </c>
      <c r="D283" s="13" t="s">
        <v>49</v>
      </c>
      <c r="E283" s="67" t="s">
        <v>56</v>
      </c>
      <c r="F283" s="13" t="s">
        <v>344</v>
      </c>
      <c r="G283" s="13" t="s">
        <v>463</v>
      </c>
      <c r="H283" s="13" t="s">
        <v>3</v>
      </c>
      <c r="I283" s="15">
        <v>0.5</v>
      </c>
      <c r="J283" s="16">
        <v>44960</v>
      </c>
      <c r="K283" s="17">
        <f t="shared" si="4"/>
        <v>45507</v>
      </c>
      <c r="L283" s="13" t="s">
        <v>465</v>
      </c>
      <c r="M283" s="17">
        <v>44987</v>
      </c>
      <c r="N283" s="17">
        <v>45088</v>
      </c>
      <c r="O283" s="13" t="s">
        <v>468</v>
      </c>
      <c r="P283" s="18" t="s">
        <v>469</v>
      </c>
      <c r="Q283" s="17">
        <v>45416</v>
      </c>
      <c r="R283" s="13"/>
      <c r="S283" s="13" t="s">
        <v>749</v>
      </c>
      <c r="T283" s="13" t="s">
        <v>1149</v>
      </c>
      <c r="U283" s="19">
        <v>2424804</v>
      </c>
      <c r="V283" s="20">
        <v>1454882.4</v>
      </c>
      <c r="W283" s="20">
        <v>242480.40000000002</v>
      </c>
      <c r="X283" s="17">
        <v>45344</v>
      </c>
      <c r="Y283" s="13" t="s">
        <v>3</v>
      </c>
      <c r="Z283" s="13" t="s">
        <v>2</v>
      </c>
      <c r="AA283" s="13" t="s">
        <v>2</v>
      </c>
      <c r="AB283" s="13" t="s">
        <v>4</v>
      </c>
      <c r="AC283" s="13" t="s">
        <v>3</v>
      </c>
      <c r="AD283" s="13" t="s">
        <v>1258</v>
      </c>
      <c r="AE283" s="19">
        <v>4331585</v>
      </c>
      <c r="AF283" s="36">
        <v>2598951</v>
      </c>
    </row>
    <row r="284" spans="1:32" x14ac:dyDescent="0.35">
      <c r="A284" s="34">
        <v>45430221886</v>
      </c>
      <c r="B284" s="13" t="s">
        <v>1268</v>
      </c>
      <c r="C284" s="13">
        <v>93328024065</v>
      </c>
      <c r="D284" s="13" t="s">
        <v>47</v>
      </c>
      <c r="E284" s="67" t="s">
        <v>55</v>
      </c>
      <c r="F284" s="13" t="s">
        <v>345</v>
      </c>
      <c r="G284" s="13" t="s">
        <v>462</v>
      </c>
      <c r="H284" s="13" t="s">
        <v>4</v>
      </c>
      <c r="I284" s="15">
        <v>0.7</v>
      </c>
      <c r="J284" s="16">
        <v>45004</v>
      </c>
      <c r="K284" s="17">
        <f t="shared" si="4"/>
        <v>45554</v>
      </c>
      <c r="L284" s="13" t="s">
        <v>465</v>
      </c>
      <c r="M284" s="17">
        <v>45114</v>
      </c>
      <c r="N284" s="17">
        <v>45334</v>
      </c>
      <c r="O284" s="13" t="s">
        <v>470</v>
      </c>
      <c r="P284" s="18" t="s">
        <v>469</v>
      </c>
      <c r="Q284" s="17">
        <v>45438</v>
      </c>
      <c r="R284" s="13"/>
      <c r="S284" s="13" t="s">
        <v>750</v>
      </c>
      <c r="T284" s="13" t="s">
        <v>1150</v>
      </c>
      <c r="U284" s="19">
        <v>4331585</v>
      </c>
      <c r="V284" s="20">
        <v>2598951</v>
      </c>
      <c r="W284" s="20">
        <v>433158.5</v>
      </c>
      <c r="X284" s="17">
        <v>45521</v>
      </c>
      <c r="Y284" s="13" t="s">
        <v>4</v>
      </c>
      <c r="Z284" s="13" t="s">
        <v>2</v>
      </c>
      <c r="AA284" s="13" t="s">
        <v>2</v>
      </c>
      <c r="AB284" s="13" t="s">
        <v>4</v>
      </c>
      <c r="AC284" s="13" t="s">
        <v>4</v>
      </c>
      <c r="AD284" s="13" t="s">
        <v>1259</v>
      </c>
      <c r="AE284" s="19">
        <v>4567991</v>
      </c>
      <c r="AF284" s="36">
        <v>2740794.6</v>
      </c>
    </row>
    <row r="285" spans="1:32" x14ac:dyDescent="0.35">
      <c r="A285" s="34">
        <v>27716318432</v>
      </c>
      <c r="B285" s="13" t="s">
        <v>1268</v>
      </c>
      <c r="C285" s="13">
        <v>14350900687</v>
      </c>
      <c r="D285" s="13" t="s">
        <v>45</v>
      </c>
      <c r="E285" s="67" t="s">
        <v>58</v>
      </c>
      <c r="F285" s="13" t="s">
        <v>346</v>
      </c>
      <c r="G285" s="13" t="s">
        <v>462</v>
      </c>
      <c r="H285" s="13" t="s">
        <v>3</v>
      </c>
      <c r="I285" s="15">
        <v>0.6</v>
      </c>
      <c r="J285" s="16">
        <v>45276</v>
      </c>
      <c r="K285" s="17">
        <f t="shared" si="4"/>
        <v>45824</v>
      </c>
      <c r="L285" s="13" t="s">
        <v>465</v>
      </c>
      <c r="M285" s="17">
        <v>45200</v>
      </c>
      <c r="N285" s="17">
        <v>45640</v>
      </c>
      <c r="O285" s="13" t="s">
        <v>470</v>
      </c>
      <c r="P285" s="18" t="s">
        <v>469</v>
      </c>
      <c r="Q285" s="17">
        <v>45653</v>
      </c>
      <c r="R285" s="13"/>
      <c r="S285" s="13" t="s">
        <v>751</v>
      </c>
      <c r="T285" s="13" t="s">
        <v>1151</v>
      </c>
      <c r="U285" s="19">
        <v>4567991</v>
      </c>
      <c r="V285" s="20">
        <v>2740794.6</v>
      </c>
      <c r="W285" s="20">
        <v>456799.10000000003</v>
      </c>
      <c r="X285" s="17">
        <v>45405</v>
      </c>
      <c r="Y285" s="13" t="s">
        <v>3</v>
      </c>
      <c r="Z285" s="13" t="s">
        <v>1258</v>
      </c>
      <c r="AA285" s="13" t="s">
        <v>1258</v>
      </c>
      <c r="AB285" s="13" t="s">
        <v>3</v>
      </c>
      <c r="AC285" s="13" t="s">
        <v>3</v>
      </c>
      <c r="AD285" s="13" t="s">
        <v>1259</v>
      </c>
      <c r="AE285" s="19">
        <v>7518919</v>
      </c>
      <c r="AF285" s="36">
        <v>4511351.3999999994</v>
      </c>
    </row>
    <row r="286" spans="1:32" x14ac:dyDescent="0.35">
      <c r="A286" s="34">
        <v>13652145957</v>
      </c>
      <c r="B286" s="13" t="s">
        <v>1268</v>
      </c>
      <c r="C286" s="13">
        <v>15657031586</v>
      </c>
      <c r="D286" s="13" t="s">
        <v>45</v>
      </c>
      <c r="E286" s="67" t="s">
        <v>57</v>
      </c>
      <c r="F286" s="13" t="s">
        <v>347</v>
      </c>
      <c r="G286" s="13" t="s">
        <v>463</v>
      </c>
      <c r="H286" s="13" t="s">
        <v>3</v>
      </c>
      <c r="I286" s="15">
        <v>0.7</v>
      </c>
      <c r="J286" s="16">
        <v>45016</v>
      </c>
      <c r="K286" s="17">
        <f t="shared" si="4"/>
        <v>45565</v>
      </c>
      <c r="L286" s="13" t="s">
        <v>464</v>
      </c>
      <c r="M286" s="17"/>
      <c r="N286" s="17"/>
      <c r="O286" s="13"/>
      <c r="P286" s="18"/>
      <c r="Q286" s="17"/>
      <c r="R286" s="13"/>
      <c r="S286" s="13" t="s">
        <v>752</v>
      </c>
      <c r="T286" s="13" t="s">
        <v>1152</v>
      </c>
      <c r="U286" s="19">
        <v>7518919</v>
      </c>
      <c r="V286" s="20">
        <v>4511351.3999999994</v>
      </c>
      <c r="W286" s="20">
        <v>751891.9</v>
      </c>
      <c r="X286" s="17">
        <v>45320</v>
      </c>
      <c r="Y286" s="13" t="s">
        <v>3</v>
      </c>
      <c r="Z286" s="13" t="s">
        <v>1258</v>
      </c>
      <c r="AA286" s="13" t="s">
        <v>1258</v>
      </c>
      <c r="AB286" s="13" t="s">
        <v>3</v>
      </c>
      <c r="AC286" s="13" t="s">
        <v>3</v>
      </c>
      <c r="AD286" s="13" t="s">
        <v>1259</v>
      </c>
      <c r="AE286" s="19">
        <v>5699678</v>
      </c>
      <c r="AF286" s="36">
        <v>3419806.8</v>
      </c>
    </row>
    <row r="287" spans="1:32" x14ac:dyDescent="0.35">
      <c r="A287" s="34">
        <v>13817591304</v>
      </c>
      <c r="B287" s="13" t="s">
        <v>1268</v>
      </c>
      <c r="C287" s="13">
        <v>31283619428</v>
      </c>
      <c r="D287" s="13" t="s">
        <v>46</v>
      </c>
      <c r="E287" s="67" t="s">
        <v>60</v>
      </c>
      <c r="F287" s="13" t="s">
        <v>348</v>
      </c>
      <c r="G287" s="13" t="s">
        <v>463</v>
      </c>
      <c r="H287" s="13" t="s">
        <v>4</v>
      </c>
      <c r="I287" s="15">
        <v>0.7</v>
      </c>
      <c r="J287" s="16">
        <v>45069</v>
      </c>
      <c r="K287" s="17">
        <f t="shared" si="4"/>
        <v>45619</v>
      </c>
      <c r="L287" s="13" t="s">
        <v>464</v>
      </c>
      <c r="M287" s="17"/>
      <c r="N287" s="17"/>
      <c r="O287" s="13"/>
      <c r="P287" s="18"/>
      <c r="Q287" s="17"/>
      <c r="R287" s="13"/>
      <c r="S287" s="13" t="s">
        <v>753</v>
      </c>
      <c r="T287" s="13" t="s">
        <v>1153</v>
      </c>
      <c r="U287" s="19">
        <v>5699678</v>
      </c>
      <c r="V287" s="20">
        <v>3419806.8</v>
      </c>
      <c r="W287" s="20">
        <v>569967.80000000005</v>
      </c>
      <c r="X287" s="17">
        <v>45556</v>
      </c>
      <c r="Y287" s="13" t="s">
        <v>4</v>
      </c>
      <c r="Z287" s="13" t="s">
        <v>1258</v>
      </c>
      <c r="AA287" s="13" t="s">
        <v>1258</v>
      </c>
      <c r="AB287" s="13" t="s">
        <v>4</v>
      </c>
      <c r="AC287" s="13" t="s">
        <v>4</v>
      </c>
      <c r="AD287" s="13" t="s">
        <v>1259</v>
      </c>
      <c r="AE287" s="19">
        <v>1839502</v>
      </c>
      <c r="AF287" s="36">
        <v>1103701.2</v>
      </c>
    </row>
    <row r="288" spans="1:32" x14ac:dyDescent="0.35">
      <c r="A288" s="34">
        <v>30756182338</v>
      </c>
      <c r="B288" s="13" t="s">
        <v>1268</v>
      </c>
      <c r="C288" s="13">
        <v>90102895514</v>
      </c>
      <c r="D288" s="13" t="s">
        <v>41</v>
      </c>
      <c r="E288" s="67" t="s">
        <v>52</v>
      </c>
      <c r="F288" s="13" t="s">
        <v>349</v>
      </c>
      <c r="G288" s="13" t="s">
        <v>463</v>
      </c>
      <c r="H288" s="13" t="s">
        <v>4</v>
      </c>
      <c r="I288" s="15">
        <v>0.6</v>
      </c>
      <c r="J288" s="16">
        <v>45147</v>
      </c>
      <c r="K288" s="17">
        <f t="shared" si="4"/>
        <v>45697</v>
      </c>
      <c r="L288" s="13" t="s">
        <v>464</v>
      </c>
      <c r="M288" s="17"/>
      <c r="N288" s="17"/>
      <c r="O288" s="13"/>
      <c r="P288" s="18"/>
      <c r="Q288" s="17"/>
      <c r="R288" s="13"/>
      <c r="S288" s="13" t="s">
        <v>754</v>
      </c>
      <c r="T288" s="13" t="s">
        <v>1154</v>
      </c>
      <c r="U288" s="19">
        <v>1839502</v>
      </c>
      <c r="V288" s="20">
        <v>1103701.2</v>
      </c>
      <c r="W288" s="20">
        <v>183950.2</v>
      </c>
      <c r="X288" s="17">
        <v>45561</v>
      </c>
      <c r="Y288" s="13" t="s">
        <v>4</v>
      </c>
      <c r="Z288" s="13" t="s">
        <v>1258</v>
      </c>
      <c r="AA288" s="13" t="s">
        <v>1258</v>
      </c>
      <c r="AB288" s="13" t="s">
        <v>3</v>
      </c>
      <c r="AC288" s="13" t="s">
        <v>4</v>
      </c>
      <c r="AD288" s="13" t="s">
        <v>1259</v>
      </c>
      <c r="AE288" s="19">
        <v>2202840</v>
      </c>
      <c r="AF288" s="36">
        <v>1321704</v>
      </c>
    </row>
    <row r="289" spans="1:32" x14ac:dyDescent="0.35">
      <c r="A289" s="34">
        <v>91826336176</v>
      </c>
      <c r="B289" s="13" t="s">
        <v>1268</v>
      </c>
      <c r="C289" s="13">
        <v>95828028610</v>
      </c>
      <c r="D289" s="13" t="s">
        <v>45</v>
      </c>
      <c r="E289" s="67" t="s">
        <v>57</v>
      </c>
      <c r="F289" s="13" t="s">
        <v>350</v>
      </c>
      <c r="G289" s="13" t="s">
        <v>462</v>
      </c>
      <c r="H289" s="13" t="s">
        <v>3</v>
      </c>
      <c r="I289" s="15">
        <v>0.6</v>
      </c>
      <c r="J289" s="16">
        <v>44967</v>
      </c>
      <c r="K289" s="17">
        <f t="shared" si="4"/>
        <v>45514</v>
      </c>
      <c r="L289" s="13" t="s">
        <v>465</v>
      </c>
      <c r="M289" s="17">
        <v>45279</v>
      </c>
      <c r="N289" s="17">
        <v>45198</v>
      </c>
      <c r="O289" s="13" t="s">
        <v>468</v>
      </c>
      <c r="P289" s="18" t="s">
        <v>469</v>
      </c>
      <c r="Q289" s="17">
        <v>45475</v>
      </c>
      <c r="R289" s="13"/>
      <c r="S289" s="13" t="s">
        <v>755</v>
      </c>
      <c r="T289" s="13" t="s">
        <v>1155</v>
      </c>
      <c r="U289" s="19">
        <v>2202840</v>
      </c>
      <c r="V289" s="20">
        <v>1321704</v>
      </c>
      <c r="W289" s="20">
        <v>220284</v>
      </c>
      <c r="X289" s="17">
        <v>45345</v>
      </c>
      <c r="Y289" s="13" t="s">
        <v>3</v>
      </c>
      <c r="Z289" s="13" t="s">
        <v>1258</v>
      </c>
      <c r="AA289" s="13" t="s">
        <v>1258</v>
      </c>
      <c r="AB289" s="13" t="s">
        <v>4</v>
      </c>
      <c r="AC289" s="13" t="s">
        <v>3</v>
      </c>
      <c r="AD289" s="13" t="s">
        <v>1259</v>
      </c>
      <c r="AE289" s="19">
        <v>7533038</v>
      </c>
      <c r="AF289" s="36">
        <v>4519822.8</v>
      </c>
    </row>
    <row r="290" spans="1:32" x14ac:dyDescent="0.35">
      <c r="A290" s="34">
        <v>64609787583</v>
      </c>
      <c r="B290" s="13" t="s">
        <v>1268</v>
      </c>
      <c r="C290" s="13">
        <v>43755167200</v>
      </c>
      <c r="D290" s="13" t="s">
        <v>48</v>
      </c>
      <c r="E290" s="67" t="s">
        <v>56</v>
      </c>
      <c r="F290" s="13" t="s">
        <v>351</v>
      </c>
      <c r="G290" s="13" t="s">
        <v>462</v>
      </c>
      <c r="H290" s="13" t="s">
        <v>3</v>
      </c>
      <c r="I290" s="15">
        <v>0.6</v>
      </c>
      <c r="J290" s="16">
        <v>44987</v>
      </c>
      <c r="K290" s="17">
        <f t="shared" si="4"/>
        <v>45537</v>
      </c>
      <c r="L290" s="13" t="s">
        <v>464</v>
      </c>
      <c r="M290" s="17"/>
      <c r="N290" s="17"/>
      <c r="O290" s="13"/>
      <c r="P290" s="18"/>
      <c r="Q290" s="17"/>
      <c r="R290" s="13"/>
      <c r="S290" s="13" t="s">
        <v>756</v>
      </c>
      <c r="T290" s="13" t="s">
        <v>1156</v>
      </c>
      <c r="U290" s="19">
        <v>7533038</v>
      </c>
      <c r="V290" s="20">
        <v>4519822.8</v>
      </c>
      <c r="W290" s="20">
        <v>753303.8</v>
      </c>
      <c r="X290" s="17">
        <v>45362</v>
      </c>
      <c r="Y290" s="13" t="s">
        <v>3</v>
      </c>
      <c r="Z290" s="13" t="s">
        <v>1258</v>
      </c>
      <c r="AA290" s="13" t="s">
        <v>1258</v>
      </c>
      <c r="AB290" s="13" t="s">
        <v>4</v>
      </c>
      <c r="AC290" s="13" t="s">
        <v>3</v>
      </c>
      <c r="AD290" s="13" t="s">
        <v>1259</v>
      </c>
      <c r="AE290" s="19">
        <v>6213290</v>
      </c>
      <c r="AF290" s="36">
        <v>3727974</v>
      </c>
    </row>
    <row r="291" spans="1:32" x14ac:dyDescent="0.35">
      <c r="A291" s="34">
        <v>42490153268</v>
      </c>
      <c r="B291" s="13" t="s">
        <v>1268</v>
      </c>
      <c r="C291" s="13">
        <v>97425898714</v>
      </c>
      <c r="D291" s="13" t="s">
        <v>46</v>
      </c>
      <c r="E291" s="67" t="s">
        <v>57</v>
      </c>
      <c r="F291" s="13" t="s">
        <v>352</v>
      </c>
      <c r="G291" s="13" t="s">
        <v>462</v>
      </c>
      <c r="H291" s="13" t="s">
        <v>3</v>
      </c>
      <c r="I291" s="15">
        <v>0.7</v>
      </c>
      <c r="J291" s="16">
        <v>45088</v>
      </c>
      <c r="K291" s="17">
        <f t="shared" si="4"/>
        <v>45637</v>
      </c>
      <c r="L291" s="13" t="s">
        <v>464</v>
      </c>
      <c r="M291" s="17"/>
      <c r="N291" s="17"/>
      <c r="O291" s="13"/>
      <c r="P291" s="18"/>
      <c r="Q291" s="17"/>
      <c r="R291" s="13"/>
      <c r="S291" s="13" t="s">
        <v>757</v>
      </c>
      <c r="T291" s="13" t="s">
        <v>1157</v>
      </c>
      <c r="U291" s="19">
        <v>6213290</v>
      </c>
      <c r="V291" s="20">
        <v>3727974</v>
      </c>
      <c r="W291" s="20">
        <v>621329</v>
      </c>
      <c r="X291" s="17">
        <v>45375</v>
      </c>
      <c r="Y291" s="13" t="s">
        <v>3</v>
      </c>
      <c r="Z291" s="13" t="s">
        <v>2</v>
      </c>
      <c r="AA291" s="13" t="s">
        <v>2</v>
      </c>
      <c r="AB291" s="13" t="s">
        <v>4</v>
      </c>
      <c r="AC291" s="13" t="s">
        <v>3</v>
      </c>
      <c r="AD291" s="13" t="s">
        <v>1259</v>
      </c>
      <c r="AE291" s="19">
        <v>2960057</v>
      </c>
      <c r="AF291" s="36">
        <v>1776034.2</v>
      </c>
    </row>
    <row r="292" spans="1:32" x14ac:dyDescent="0.35">
      <c r="A292" s="34">
        <v>44755172830</v>
      </c>
      <c r="B292" s="13" t="s">
        <v>1268</v>
      </c>
      <c r="C292" s="13">
        <v>61827109730</v>
      </c>
      <c r="D292" s="13" t="s">
        <v>48</v>
      </c>
      <c r="E292" s="67" t="s">
        <v>59</v>
      </c>
      <c r="F292" s="13" t="s">
        <v>353</v>
      </c>
      <c r="G292" s="13" t="s">
        <v>463</v>
      </c>
      <c r="H292" s="13" t="s">
        <v>4</v>
      </c>
      <c r="I292" s="15">
        <v>0.5</v>
      </c>
      <c r="J292" s="16">
        <v>44929</v>
      </c>
      <c r="K292" s="17">
        <f t="shared" si="4"/>
        <v>45476</v>
      </c>
      <c r="L292" s="13" t="s">
        <v>464</v>
      </c>
      <c r="M292" s="17"/>
      <c r="N292" s="17"/>
      <c r="O292" s="13"/>
      <c r="P292" s="18"/>
      <c r="Q292" s="17"/>
      <c r="R292" s="13"/>
      <c r="S292" s="13" t="s">
        <v>758</v>
      </c>
      <c r="T292" s="13" t="s">
        <v>879</v>
      </c>
      <c r="U292" s="19">
        <v>2960057</v>
      </c>
      <c r="V292" s="20">
        <v>1776034.2</v>
      </c>
      <c r="W292" s="20">
        <v>296005.7</v>
      </c>
      <c r="X292" s="17">
        <v>45495</v>
      </c>
      <c r="Y292" s="13" t="s">
        <v>4</v>
      </c>
      <c r="Z292" s="13" t="s">
        <v>2</v>
      </c>
      <c r="AA292" s="13" t="s">
        <v>2</v>
      </c>
      <c r="AB292" s="13" t="s">
        <v>4</v>
      </c>
      <c r="AC292" s="13" t="s">
        <v>4</v>
      </c>
      <c r="AD292" s="13" t="s">
        <v>1259</v>
      </c>
      <c r="AE292" s="19">
        <v>9807170</v>
      </c>
      <c r="AF292" s="36">
        <v>5884302</v>
      </c>
    </row>
    <row r="293" spans="1:32" x14ac:dyDescent="0.35">
      <c r="A293" s="34">
        <v>90510907050</v>
      </c>
      <c r="B293" s="13" t="s">
        <v>1268</v>
      </c>
      <c r="C293" s="13">
        <v>99183734153</v>
      </c>
      <c r="D293" s="13" t="s">
        <v>48</v>
      </c>
      <c r="E293" s="67" t="s">
        <v>55</v>
      </c>
      <c r="F293" s="13" t="s">
        <v>354</v>
      </c>
      <c r="G293" s="13" t="s">
        <v>462</v>
      </c>
      <c r="H293" s="13" t="s">
        <v>4</v>
      </c>
      <c r="I293" s="15">
        <v>0.6</v>
      </c>
      <c r="J293" s="16">
        <v>45217</v>
      </c>
      <c r="K293" s="17">
        <f t="shared" si="4"/>
        <v>45765</v>
      </c>
      <c r="L293" s="13" t="s">
        <v>464</v>
      </c>
      <c r="M293" s="17"/>
      <c r="N293" s="17"/>
      <c r="O293" s="13"/>
      <c r="P293" s="18"/>
      <c r="Q293" s="17"/>
      <c r="R293" s="13"/>
      <c r="S293" s="13" t="s">
        <v>759</v>
      </c>
      <c r="T293" s="13" t="s">
        <v>1158</v>
      </c>
      <c r="U293" s="19">
        <v>9807170</v>
      </c>
      <c r="V293" s="20">
        <v>5884302</v>
      </c>
      <c r="W293" s="20">
        <v>980717</v>
      </c>
      <c r="X293" s="17">
        <v>45502</v>
      </c>
      <c r="Y293" s="13" t="s">
        <v>4</v>
      </c>
      <c r="Z293" s="13" t="s">
        <v>2</v>
      </c>
      <c r="AA293" s="13" t="s">
        <v>2</v>
      </c>
      <c r="AB293" s="13" t="s">
        <v>4</v>
      </c>
      <c r="AC293" s="13" t="s">
        <v>4</v>
      </c>
      <c r="AD293" s="13" t="s">
        <v>1258</v>
      </c>
      <c r="AE293" s="19">
        <v>3911730</v>
      </c>
      <c r="AF293" s="36">
        <v>2347038</v>
      </c>
    </row>
    <row r="294" spans="1:32" x14ac:dyDescent="0.35">
      <c r="A294" s="34">
        <v>58185391413</v>
      </c>
      <c r="B294" s="13" t="s">
        <v>1268</v>
      </c>
      <c r="C294" s="13">
        <v>74442788126</v>
      </c>
      <c r="D294" s="13" t="s">
        <v>49</v>
      </c>
      <c r="E294" s="67" t="s">
        <v>59</v>
      </c>
      <c r="F294" s="13" t="s">
        <v>355</v>
      </c>
      <c r="G294" s="13" t="s">
        <v>462</v>
      </c>
      <c r="H294" s="13" t="s">
        <v>4</v>
      </c>
      <c r="I294" s="15">
        <v>0.5</v>
      </c>
      <c r="J294" s="16">
        <v>45168</v>
      </c>
      <c r="K294" s="17">
        <f t="shared" si="4"/>
        <v>45716</v>
      </c>
      <c r="L294" s="13" t="s">
        <v>464</v>
      </c>
      <c r="M294" s="17"/>
      <c r="N294" s="17"/>
      <c r="O294" s="13"/>
      <c r="P294" s="18"/>
      <c r="Q294" s="17"/>
      <c r="R294" s="13"/>
      <c r="S294" s="13" t="s">
        <v>760</v>
      </c>
      <c r="T294" s="13" t="s">
        <v>1159</v>
      </c>
      <c r="U294" s="19">
        <v>3911730</v>
      </c>
      <c r="V294" s="20">
        <v>2347038</v>
      </c>
      <c r="W294" s="20">
        <v>391173</v>
      </c>
      <c r="X294" s="17">
        <v>45426</v>
      </c>
      <c r="Y294" s="13" t="s">
        <v>4</v>
      </c>
      <c r="Z294" s="13" t="s">
        <v>1258</v>
      </c>
      <c r="AA294" s="13" t="s">
        <v>1258</v>
      </c>
      <c r="AB294" s="13" t="s">
        <v>3</v>
      </c>
      <c r="AC294" s="13" t="s">
        <v>4</v>
      </c>
      <c r="AD294" s="13" t="s">
        <v>1258</v>
      </c>
      <c r="AE294" s="19">
        <v>1409052</v>
      </c>
      <c r="AF294" s="36">
        <v>845431.2</v>
      </c>
    </row>
    <row r="295" spans="1:32" x14ac:dyDescent="0.35">
      <c r="A295" s="34">
        <v>28442344162</v>
      </c>
      <c r="B295" s="13" t="s">
        <v>1268</v>
      </c>
      <c r="C295" s="13">
        <v>19580412634</v>
      </c>
      <c r="D295" s="13" t="s">
        <v>42</v>
      </c>
      <c r="E295" s="67" t="s">
        <v>51</v>
      </c>
      <c r="F295" s="13" t="s">
        <v>356</v>
      </c>
      <c r="G295" s="13" t="s">
        <v>463</v>
      </c>
      <c r="H295" s="13" t="s">
        <v>4</v>
      </c>
      <c r="I295" s="15">
        <v>0.6</v>
      </c>
      <c r="J295" s="16">
        <v>45002</v>
      </c>
      <c r="K295" s="17">
        <f t="shared" si="4"/>
        <v>45552</v>
      </c>
      <c r="L295" s="13" t="s">
        <v>464</v>
      </c>
      <c r="M295" s="17"/>
      <c r="N295" s="17"/>
      <c r="O295" s="13"/>
      <c r="P295" s="18"/>
      <c r="Q295" s="17"/>
      <c r="R295" s="13"/>
      <c r="S295" s="13" t="s">
        <v>761</v>
      </c>
      <c r="T295" s="13" t="s">
        <v>1160</v>
      </c>
      <c r="U295" s="19">
        <v>1409052</v>
      </c>
      <c r="V295" s="20">
        <v>845431.2</v>
      </c>
      <c r="W295" s="20">
        <v>140905.20000000001</v>
      </c>
      <c r="X295" s="17">
        <v>45623</v>
      </c>
      <c r="Y295" s="13" t="s">
        <v>4</v>
      </c>
      <c r="Z295" s="13" t="s">
        <v>2</v>
      </c>
      <c r="AA295" s="13" t="s">
        <v>2</v>
      </c>
      <c r="AB295" s="13" t="s">
        <v>3</v>
      </c>
      <c r="AC295" s="13" t="s">
        <v>4</v>
      </c>
      <c r="AD295" s="13" t="s">
        <v>1258</v>
      </c>
      <c r="AE295" s="19">
        <v>4783311</v>
      </c>
      <c r="AF295" s="36">
        <v>2869986.6</v>
      </c>
    </row>
    <row r="296" spans="1:32" x14ac:dyDescent="0.35">
      <c r="A296" s="34">
        <v>71187957393</v>
      </c>
      <c r="B296" s="13" t="s">
        <v>1268</v>
      </c>
      <c r="C296" s="13">
        <v>36180859921</v>
      </c>
      <c r="D296" s="13" t="s">
        <v>46</v>
      </c>
      <c r="E296" s="67" t="s">
        <v>57</v>
      </c>
      <c r="F296" s="13" t="s">
        <v>357</v>
      </c>
      <c r="G296" s="13" t="s">
        <v>463</v>
      </c>
      <c r="H296" s="13" t="s">
        <v>3</v>
      </c>
      <c r="I296" s="15">
        <v>0.6</v>
      </c>
      <c r="J296" s="16">
        <v>45276</v>
      </c>
      <c r="K296" s="17">
        <f t="shared" si="4"/>
        <v>45824</v>
      </c>
      <c r="L296" s="13" t="s">
        <v>464</v>
      </c>
      <c r="M296" s="17"/>
      <c r="N296" s="17"/>
      <c r="O296" s="13"/>
      <c r="P296" s="18"/>
      <c r="Q296" s="17"/>
      <c r="R296" s="13"/>
      <c r="S296" s="13" t="s">
        <v>762</v>
      </c>
      <c r="T296" s="13" t="s">
        <v>1161</v>
      </c>
      <c r="U296" s="19">
        <v>4783311</v>
      </c>
      <c r="V296" s="20">
        <v>2869986.6</v>
      </c>
      <c r="W296" s="20">
        <v>478331.10000000003</v>
      </c>
      <c r="X296" s="17">
        <v>45625</v>
      </c>
      <c r="Y296" s="13" t="s">
        <v>3</v>
      </c>
      <c r="Z296" s="13" t="s">
        <v>2</v>
      </c>
      <c r="AA296" s="13" t="s">
        <v>2</v>
      </c>
      <c r="AB296" s="13" t="s">
        <v>3</v>
      </c>
      <c r="AC296" s="13" t="s">
        <v>3</v>
      </c>
      <c r="AD296" s="13" t="s">
        <v>1258</v>
      </c>
      <c r="AE296" s="19">
        <v>6000277</v>
      </c>
      <c r="AF296" s="36">
        <v>3600166.1999999997</v>
      </c>
    </row>
    <row r="297" spans="1:32" x14ac:dyDescent="0.35">
      <c r="A297" s="34">
        <v>34408352233</v>
      </c>
      <c r="B297" s="13" t="s">
        <v>1268</v>
      </c>
      <c r="C297" s="13">
        <v>11921540807</v>
      </c>
      <c r="D297" s="13" t="s">
        <v>46</v>
      </c>
      <c r="E297" s="67" t="s">
        <v>53</v>
      </c>
      <c r="F297" s="13" t="s">
        <v>358</v>
      </c>
      <c r="G297" s="13" t="s">
        <v>462</v>
      </c>
      <c r="H297" s="13" t="s">
        <v>3</v>
      </c>
      <c r="I297" s="15">
        <v>0.6</v>
      </c>
      <c r="J297" s="16">
        <v>45087</v>
      </c>
      <c r="K297" s="17">
        <f t="shared" si="4"/>
        <v>45636</v>
      </c>
      <c r="L297" s="13" t="s">
        <v>465</v>
      </c>
      <c r="M297" s="17">
        <v>45245</v>
      </c>
      <c r="N297" s="17">
        <v>45275</v>
      </c>
      <c r="O297" s="13" t="s">
        <v>468</v>
      </c>
      <c r="P297" s="18" t="s">
        <v>471</v>
      </c>
      <c r="Q297" s="17">
        <v>45354</v>
      </c>
      <c r="R297" s="13"/>
      <c r="S297" s="13" t="s">
        <v>763</v>
      </c>
      <c r="T297" s="13" t="s">
        <v>1162</v>
      </c>
      <c r="U297" s="19">
        <v>6000277</v>
      </c>
      <c r="V297" s="20">
        <v>3600166.1999999997</v>
      </c>
      <c r="W297" s="20">
        <v>600027.70000000007</v>
      </c>
      <c r="X297" s="17">
        <v>45468</v>
      </c>
      <c r="Y297" s="13" t="s">
        <v>3</v>
      </c>
      <c r="Z297" s="13" t="s">
        <v>1258</v>
      </c>
      <c r="AA297" s="13" t="s">
        <v>1258</v>
      </c>
      <c r="AB297" s="13" t="s">
        <v>3</v>
      </c>
      <c r="AC297" s="13" t="s">
        <v>3</v>
      </c>
      <c r="AD297" s="13" t="s">
        <v>1258</v>
      </c>
      <c r="AE297" s="19">
        <v>7025343</v>
      </c>
      <c r="AF297" s="36">
        <v>4215205.8</v>
      </c>
    </row>
    <row r="298" spans="1:32" x14ac:dyDescent="0.35">
      <c r="A298" s="34">
        <v>39321675643</v>
      </c>
      <c r="B298" s="13" t="s">
        <v>1268</v>
      </c>
      <c r="C298" s="13">
        <v>44754783151</v>
      </c>
      <c r="D298" s="13" t="s">
        <v>48</v>
      </c>
      <c r="E298" s="67" t="s">
        <v>58</v>
      </c>
      <c r="F298" s="13" t="s">
        <v>359</v>
      </c>
      <c r="G298" s="13" t="s">
        <v>462</v>
      </c>
      <c r="H298" s="13" t="s">
        <v>4</v>
      </c>
      <c r="I298" s="15">
        <v>0.6</v>
      </c>
      <c r="J298" s="16">
        <v>44961</v>
      </c>
      <c r="K298" s="17">
        <f t="shared" si="4"/>
        <v>45508</v>
      </c>
      <c r="L298" s="13" t="s">
        <v>464</v>
      </c>
      <c r="M298" s="17"/>
      <c r="N298" s="17"/>
      <c r="O298" s="13"/>
      <c r="P298" s="18"/>
      <c r="Q298" s="17"/>
      <c r="R298" s="13"/>
      <c r="S298" s="13" t="s">
        <v>764</v>
      </c>
      <c r="T298" s="13" t="s">
        <v>1163</v>
      </c>
      <c r="U298" s="19">
        <v>7025343</v>
      </c>
      <c r="V298" s="20">
        <v>4215205.8</v>
      </c>
      <c r="W298" s="20">
        <v>702534.3</v>
      </c>
      <c r="X298" s="17">
        <v>45540</v>
      </c>
      <c r="Y298" s="13" t="s">
        <v>4</v>
      </c>
      <c r="Z298" s="13" t="s">
        <v>2</v>
      </c>
      <c r="AA298" s="13" t="s">
        <v>2</v>
      </c>
      <c r="AB298" s="13" t="s">
        <v>4</v>
      </c>
      <c r="AC298" s="13" t="s">
        <v>4</v>
      </c>
      <c r="AD298" s="13" t="s">
        <v>1258</v>
      </c>
      <c r="AE298" s="19">
        <v>1425312</v>
      </c>
      <c r="AF298" s="36">
        <v>855187.2</v>
      </c>
    </row>
    <row r="299" spans="1:32" x14ac:dyDescent="0.35">
      <c r="A299" s="34">
        <v>94244707171</v>
      </c>
      <c r="B299" s="13" t="s">
        <v>1268</v>
      </c>
      <c r="C299" s="13">
        <v>22904334511</v>
      </c>
      <c r="D299" s="13" t="s">
        <v>47</v>
      </c>
      <c r="E299" s="67" t="s">
        <v>57</v>
      </c>
      <c r="F299" s="13" t="s">
        <v>360</v>
      </c>
      <c r="G299" s="13" t="s">
        <v>463</v>
      </c>
      <c r="H299" s="13" t="s">
        <v>4</v>
      </c>
      <c r="I299" s="15">
        <v>0.7</v>
      </c>
      <c r="J299" s="16">
        <v>44943</v>
      </c>
      <c r="K299" s="17">
        <f t="shared" si="4"/>
        <v>45490</v>
      </c>
      <c r="L299" s="13" t="s">
        <v>465</v>
      </c>
      <c r="M299" s="17">
        <v>45242</v>
      </c>
      <c r="N299" s="17">
        <v>45176</v>
      </c>
      <c r="O299" s="13" t="s">
        <v>468</v>
      </c>
      <c r="P299" s="18" t="s">
        <v>471</v>
      </c>
      <c r="Q299" s="17">
        <v>45330</v>
      </c>
      <c r="R299" s="13"/>
      <c r="S299" s="13" t="s">
        <v>765</v>
      </c>
      <c r="T299" s="13" t="s">
        <v>1026</v>
      </c>
      <c r="U299" s="19">
        <v>1425312</v>
      </c>
      <c r="V299" s="20">
        <v>855187.2</v>
      </c>
      <c r="W299" s="20">
        <v>142531.20000000001</v>
      </c>
      <c r="X299" s="17">
        <v>45616</v>
      </c>
      <c r="Y299" s="13" t="s">
        <v>4</v>
      </c>
      <c r="Z299" s="13" t="s">
        <v>1258</v>
      </c>
      <c r="AA299" s="13" t="s">
        <v>1258</v>
      </c>
      <c r="AB299" s="13" t="s">
        <v>4</v>
      </c>
      <c r="AC299" s="13" t="s">
        <v>4</v>
      </c>
      <c r="AD299" s="13" t="s">
        <v>1258</v>
      </c>
      <c r="AE299" s="19">
        <v>8947069</v>
      </c>
      <c r="AF299" s="36">
        <v>5368241.3999999994</v>
      </c>
    </row>
    <row r="300" spans="1:32" x14ac:dyDescent="0.35">
      <c r="A300" s="34">
        <v>36577675320</v>
      </c>
      <c r="B300" s="13" t="s">
        <v>1268</v>
      </c>
      <c r="C300" s="13">
        <v>90333449470</v>
      </c>
      <c r="D300" s="13" t="s">
        <v>50</v>
      </c>
      <c r="E300" s="67" t="s">
        <v>59</v>
      </c>
      <c r="F300" s="13" t="s">
        <v>361</v>
      </c>
      <c r="G300" s="13" t="s">
        <v>463</v>
      </c>
      <c r="H300" s="13" t="s">
        <v>4</v>
      </c>
      <c r="I300" s="15">
        <v>0.6</v>
      </c>
      <c r="J300" s="16">
        <v>45192</v>
      </c>
      <c r="K300" s="17">
        <f t="shared" si="4"/>
        <v>45739</v>
      </c>
      <c r="L300" s="13" t="s">
        <v>464</v>
      </c>
      <c r="M300" s="17"/>
      <c r="N300" s="17"/>
      <c r="O300" s="13"/>
      <c r="P300" s="18"/>
      <c r="Q300" s="17"/>
      <c r="R300" s="13"/>
      <c r="S300" s="13" t="s">
        <v>766</v>
      </c>
      <c r="T300" s="13" t="s">
        <v>1164</v>
      </c>
      <c r="U300" s="19">
        <v>8947069</v>
      </c>
      <c r="V300" s="20">
        <v>5368241.3999999994</v>
      </c>
      <c r="W300" s="20">
        <v>894706.9</v>
      </c>
      <c r="X300" s="17">
        <v>45606</v>
      </c>
      <c r="Y300" s="13" t="s">
        <v>4</v>
      </c>
      <c r="Z300" s="13" t="s">
        <v>1258</v>
      </c>
      <c r="AA300" s="13" t="s">
        <v>1258</v>
      </c>
      <c r="AB300" s="13" t="s">
        <v>3</v>
      </c>
      <c r="AC300" s="13" t="s">
        <v>4</v>
      </c>
      <c r="AD300" s="13" t="s">
        <v>1259</v>
      </c>
      <c r="AE300" s="19">
        <v>4575472</v>
      </c>
      <c r="AF300" s="36">
        <v>2745283.1999999997</v>
      </c>
    </row>
    <row r="301" spans="1:32" x14ac:dyDescent="0.35">
      <c r="A301" s="34">
        <v>20530634152</v>
      </c>
      <c r="B301" s="13" t="s">
        <v>1269</v>
      </c>
      <c r="C301" s="13">
        <v>83579924493</v>
      </c>
      <c r="D301" s="13" t="s">
        <v>46</v>
      </c>
      <c r="E301" s="67" t="s">
        <v>59</v>
      </c>
      <c r="F301" s="13" t="s">
        <v>362</v>
      </c>
      <c r="G301" s="13" t="s">
        <v>463</v>
      </c>
      <c r="H301" s="13" t="s">
        <v>3</v>
      </c>
      <c r="I301" s="15">
        <v>0.6</v>
      </c>
      <c r="J301" s="16">
        <v>45090</v>
      </c>
      <c r="K301" s="17">
        <f t="shared" si="4"/>
        <v>45639</v>
      </c>
      <c r="L301" s="13" t="s">
        <v>464</v>
      </c>
      <c r="M301" s="17"/>
      <c r="N301" s="17"/>
      <c r="O301" s="13"/>
      <c r="P301" s="18"/>
      <c r="Q301" s="17"/>
      <c r="R301" s="13"/>
      <c r="S301" s="13" t="s">
        <v>767</v>
      </c>
      <c r="T301" s="13" t="s">
        <v>1165</v>
      </c>
      <c r="U301" s="19">
        <v>4575472</v>
      </c>
      <c r="V301" s="20">
        <v>2745283.1999999997</v>
      </c>
      <c r="W301" s="20">
        <v>457547.2</v>
      </c>
      <c r="X301" s="17">
        <v>45322</v>
      </c>
      <c r="Y301" s="13" t="s">
        <v>3</v>
      </c>
      <c r="Z301" s="13" t="s">
        <v>1258</v>
      </c>
      <c r="AA301" s="13" t="s">
        <v>1258</v>
      </c>
      <c r="AB301" s="13" t="s">
        <v>3</v>
      </c>
      <c r="AC301" s="13" t="s">
        <v>3</v>
      </c>
      <c r="AD301" s="13" t="s">
        <v>1259</v>
      </c>
      <c r="AE301" s="19">
        <v>2555441</v>
      </c>
      <c r="AF301" s="36">
        <v>1533264.5999999999</v>
      </c>
    </row>
    <row r="302" spans="1:32" x14ac:dyDescent="0.35">
      <c r="A302" s="34">
        <v>92098251260</v>
      </c>
      <c r="B302" s="13" t="s">
        <v>1269</v>
      </c>
      <c r="C302" s="13">
        <v>65155394442</v>
      </c>
      <c r="D302" s="13" t="s">
        <v>47</v>
      </c>
      <c r="E302" s="67" t="s">
        <v>52</v>
      </c>
      <c r="F302" s="13" t="s">
        <v>363</v>
      </c>
      <c r="G302" s="13" t="s">
        <v>463</v>
      </c>
      <c r="H302" s="13" t="s">
        <v>3</v>
      </c>
      <c r="I302" s="15">
        <v>0.5</v>
      </c>
      <c r="J302" s="16">
        <v>45014</v>
      </c>
      <c r="K302" s="17">
        <f t="shared" si="4"/>
        <v>45564</v>
      </c>
      <c r="L302" s="13" t="s">
        <v>465</v>
      </c>
      <c r="M302" s="17">
        <v>45066</v>
      </c>
      <c r="N302" s="17">
        <v>45163</v>
      </c>
      <c r="O302" s="13" t="s">
        <v>468</v>
      </c>
      <c r="P302" s="18" t="s">
        <v>469</v>
      </c>
      <c r="Q302" s="17">
        <v>45355</v>
      </c>
      <c r="R302" s="13"/>
      <c r="S302" s="13" t="s">
        <v>768</v>
      </c>
      <c r="T302" s="13" t="s">
        <v>1166</v>
      </c>
      <c r="U302" s="19">
        <v>2555441</v>
      </c>
      <c r="V302" s="20">
        <v>1533264.5999999999</v>
      </c>
      <c r="W302" s="20">
        <v>255544.1</v>
      </c>
      <c r="X302" s="17">
        <v>45543</v>
      </c>
      <c r="Y302" s="13" t="s">
        <v>3</v>
      </c>
      <c r="Z302" s="13" t="s">
        <v>2</v>
      </c>
      <c r="AA302" s="13" t="s">
        <v>2</v>
      </c>
      <c r="AB302" s="13" t="s">
        <v>3</v>
      </c>
      <c r="AC302" s="13" t="s">
        <v>3</v>
      </c>
      <c r="AD302" s="13" t="s">
        <v>1259</v>
      </c>
      <c r="AE302" s="19">
        <v>8400882</v>
      </c>
      <c r="AF302" s="36">
        <v>5040529.2</v>
      </c>
    </row>
    <row r="303" spans="1:32" x14ac:dyDescent="0.35">
      <c r="A303" s="34">
        <v>27302093482</v>
      </c>
      <c r="B303" s="13" t="s">
        <v>1269</v>
      </c>
      <c r="C303" s="13">
        <v>86360720855</v>
      </c>
      <c r="D303" s="13" t="s">
        <v>50</v>
      </c>
      <c r="E303" s="67" t="s">
        <v>52</v>
      </c>
      <c r="F303" s="13" t="s">
        <v>364</v>
      </c>
      <c r="G303" s="13" t="s">
        <v>463</v>
      </c>
      <c r="H303" s="13" t="s">
        <v>4</v>
      </c>
      <c r="I303" s="15">
        <v>0.6</v>
      </c>
      <c r="J303" s="16">
        <v>45021</v>
      </c>
      <c r="K303" s="17">
        <f t="shared" si="4"/>
        <v>45570</v>
      </c>
      <c r="L303" s="13" t="s">
        <v>465</v>
      </c>
      <c r="M303" s="17">
        <v>44976</v>
      </c>
      <c r="N303" s="17">
        <v>45185</v>
      </c>
      <c r="O303" s="13" t="s">
        <v>468</v>
      </c>
      <c r="P303" s="18" t="s">
        <v>471</v>
      </c>
      <c r="Q303" s="17">
        <v>45394</v>
      </c>
      <c r="R303" s="13"/>
      <c r="S303" s="13" t="s">
        <v>769</v>
      </c>
      <c r="T303" s="13" t="s">
        <v>1167</v>
      </c>
      <c r="U303" s="19">
        <v>8400882</v>
      </c>
      <c r="V303" s="20">
        <v>5040529.2</v>
      </c>
      <c r="W303" s="20">
        <v>840088.20000000007</v>
      </c>
      <c r="X303" s="17">
        <v>45553</v>
      </c>
      <c r="Y303" s="13" t="s">
        <v>4</v>
      </c>
      <c r="Z303" s="13" t="s">
        <v>2</v>
      </c>
      <c r="AA303" s="13" t="s">
        <v>2</v>
      </c>
      <c r="AB303" s="13" t="s">
        <v>4</v>
      </c>
      <c r="AC303" s="13" t="s">
        <v>4</v>
      </c>
      <c r="AD303" s="13" t="s">
        <v>1258</v>
      </c>
      <c r="AE303" s="19">
        <v>9190116</v>
      </c>
      <c r="AF303" s="36">
        <v>5514069.5999999996</v>
      </c>
    </row>
    <row r="304" spans="1:32" x14ac:dyDescent="0.35">
      <c r="A304" s="34">
        <v>88988449834</v>
      </c>
      <c r="B304" s="13" t="s">
        <v>1269</v>
      </c>
      <c r="C304" s="13">
        <v>57095014300</v>
      </c>
      <c r="D304" s="13" t="s">
        <v>49</v>
      </c>
      <c r="E304" s="67" t="s">
        <v>58</v>
      </c>
      <c r="F304" s="13" t="s">
        <v>365</v>
      </c>
      <c r="G304" s="13" t="s">
        <v>462</v>
      </c>
      <c r="H304" s="13" t="s">
        <v>3</v>
      </c>
      <c r="I304" s="15">
        <v>0.7</v>
      </c>
      <c r="J304" s="16">
        <v>45277</v>
      </c>
      <c r="K304" s="17">
        <f t="shared" si="4"/>
        <v>45825</v>
      </c>
      <c r="L304" s="13" t="s">
        <v>465</v>
      </c>
      <c r="M304" s="17">
        <v>45107</v>
      </c>
      <c r="N304" s="17">
        <v>45388</v>
      </c>
      <c r="O304" s="13" t="s">
        <v>470</v>
      </c>
      <c r="P304" s="18" t="s">
        <v>469</v>
      </c>
      <c r="Q304" s="17">
        <v>45416</v>
      </c>
      <c r="R304" s="13"/>
      <c r="S304" s="13" t="s">
        <v>770</v>
      </c>
      <c r="T304" s="13" t="s">
        <v>1168</v>
      </c>
      <c r="U304" s="19">
        <v>9190116</v>
      </c>
      <c r="V304" s="20">
        <v>5514069.5999999996</v>
      </c>
      <c r="W304" s="20">
        <v>919011.60000000009</v>
      </c>
      <c r="X304" s="17">
        <v>45330</v>
      </c>
      <c r="Y304" s="13" t="s">
        <v>3</v>
      </c>
      <c r="Z304" s="13" t="s">
        <v>2</v>
      </c>
      <c r="AA304" s="13" t="s">
        <v>2</v>
      </c>
      <c r="AB304" s="13" t="s">
        <v>3</v>
      </c>
      <c r="AC304" s="13" t="s">
        <v>3</v>
      </c>
      <c r="AD304" s="13" t="s">
        <v>1259</v>
      </c>
      <c r="AE304" s="19">
        <v>2156414</v>
      </c>
      <c r="AF304" s="36">
        <v>1293848.3999999999</v>
      </c>
    </row>
    <row r="305" spans="1:32" x14ac:dyDescent="0.35">
      <c r="A305" s="34">
        <v>86216763154</v>
      </c>
      <c r="B305" s="13" t="s">
        <v>1269</v>
      </c>
      <c r="C305" s="13">
        <v>74476106353</v>
      </c>
      <c r="D305" s="13" t="s">
        <v>46</v>
      </c>
      <c r="E305" s="67" t="s">
        <v>57</v>
      </c>
      <c r="F305" s="13" t="s">
        <v>366</v>
      </c>
      <c r="G305" s="13" t="s">
        <v>462</v>
      </c>
      <c r="H305" s="13" t="s">
        <v>3</v>
      </c>
      <c r="I305" s="15">
        <v>0.7</v>
      </c>
      <c r="J305" s="16">
        <v>45081</v>
      </c>
      <c r="K305" s="17">
        <f t="shared" si="4"/>
        <v>45630</v>
      </c>
      <c r="L305" s="13" t="s">
        <v>464</v>
      </c>
      <c r="M305" s="17"/>
      <c r="N305" s="17"/>
      <c r="O305" s="13"/>
      <c r="P305" s="18"/>
      <c r="Q305" s="17"/>
      <c r="R305" s="13"/>
      <c r="S305" s="13" t="s">
        <v>771</v>
      </c>
      <c r="T305" s="13" t="s">
        <v>1169</v>
      </c>
      <c r="U305" s="19">
        <v>2156414</v>
      </c>
      <c r="V305" s="20">
        <v>1293848.3999999999</v>
      </c>
      <c r="W305" s="20">
        <v>215641.40000000002</v>
      </c>
      <c r="X305" s="17">
        <v>45533</v>
      </c>
      <c r="Y305" s="13" t="s">
        <v>3</v>
      </c>
      <c r="Z305" s="13" t="s">
        <v>2</v>
      </c>
      <c r="AA305" s="13" t="s">
        <v>2</v>
      </c>
      <c r="AB305" s="13" t="s">
        <v>4</v>
      </c>
      <c r="AC305" s="13" t="s">
        <v>3</v>
      </c>
      <c r="AD305" s="13" t="s">
        <v>1259</v>
      </c>
      <c r="AE305" s="19">
        <v>8535451</v>
      </c>
      <c r="AF305" s="36">
        <v>5121270.5999999996</v>
      </c>
    </row>
    <row r="306" spans="1:32" x14ac:dyDescent="0.35">
      <c r="A306" s="34">
        <v>72858919209</v>
      </c>
      <c r="B306" s="13" t="s">
        <v>1269</v>
      </c>
      <c r="C306" s="13">
        <v>80578085777</v>
      </c>
      <c r="D306" s="13" t="s">
        <v>47</v>
      </c>
      <c r="E306" s="67" t="s">
        <v>60</v>
      </c>
      <c r="F306" s="13" t="s">
        <v>367</v>
      </c>
      <c r="G306" s="13" t="s">
        <v>463</v>
      </c>
      <c r="H306" s="13" t="s">
        <v>3</v>
      </c>
      <c r="I306" s="15">
        <v>0.5</v>
      </c>
      <c r="J306" s="16">
        <v>44956</v>
      </c>
      <c r="K306" s="17">
        <f t="shared" si="4"/>
        <v>45503</v>
      </c>
      <c r="L306" s="13" t="s">
        <v>465</v>
      </c>
      <c r="M306" s="17">
        <v>45073</v>
      </c>
      <c r="N306" s="17">
        <v>45007</v>
      </c>
      <c r="O306" s="13" t="s">
        <v>470</v>
      </c>
      <c r="P306" s="18" t="s">
        <v>469</v>
      </c>
      <c r="Q306" s="17">
        <v>45377</v>
      </c>
      <c r="R306" s="13"/>
      <c r="S306" s="13" t="s">
        <v>772</v>
      </c>
      <c r="T306" s="13" t="s">
        <v>1170</v>
      </c>
      <c r="U306" s="19">
        <v>8535451</v>
      </c>
      <c r="V306" s="20">
        <v>5121270.5999999996</v>
      </c>
      <c r="W306" s="20">
        <v>853545.10000000009</v>
      </c>
      <c r="X306" s="17">
        <v>45643</v>
      </c>
      <c r="Y306" s="13" t="s">
        <v>3</v>
      </c>
      <c r="Z306" s="13" t="s">
        <v>2</v>
      </c>
      <c r="AA306" s="13" t="s">
        <v>2</v>
      </c>
      <c r="AB306" s="13" t="s">
        <v>3</v>
      </c>
      <c r="AC306" s="13" t="s">
        <v>3</v>
      </c>
      <c r="AD306" s="13" t="s">
        <v>1259</v>
      </c>
      <c r="AE306" s="19">
        <v>7228120</v>
      </c>
      <c r="AF306" s="36">
        <v>4336872</v>
      </c>
    </row>
    <row r="307" spans="1:32" x14ac:dyDescent="0.35">
      <c r="A307" s="34">
        <v>43915513940</v>
      </c>
      <c r="B307" s="13" t="s">
        <v>1269</v>
      </c>
      <c r="C307" s="13">
        <v>33304354480</v>
      </c>
      <c r="D307" s="13" t="s">
        <v>49</v>
      </c>
      <c r="E307" s="67" t="s">
        <v>53</v>
      </c>
      <c r="F307" s="13" t="s">
        <v>368</v>
      </c>
      <c r="G307" s="13" t="s">
        <v>462</v>
      </c>
      <c r="H307" s="13" t="s">
        <v>3</v>
      </c>
      <c r="I307" s="15">
        <v>0.5</v>
      </c>
      <c r="J307" s="16">
        <v>45250</v>
      </c>
      <c r="K307" s="17">
        <f t="shared" si="4"/>
        <v>45797</v>
      </c>
      <c r="L307" s="13" t="s">
        <v>465</v>
      </c>
      <c r="M307" s="17">
        <v>44990</v>
      </c>
      <c r="N307" s="17">
        <v>45410</v>
      </c>
      <c r="O307" s="13" t="s">
        <v>470</v>
      </c>
      <c r="P307" s="18" t="s">
        <v>471</v>
      </c>
      <c r="Q307" s="17">
        <v>45526</v>
      </c>
      <c r="R307" s="13"/>
      <c r="S307" s="13" t="s">
        <v>773</v>
      </c>
      <c r="T307" s="13" t="s">
        <v>1171</v>
      </c>
      <c r="U307" s="19">
        <v>7228120</v>
      </c>
      <c r="V307" s="20">
        <v>4336872</v>
      </c>
      <c r="W307" s="20">
        <v>722812</v>
      </c>
      <c r="X307" s="17">
        <v>45523</v>
      </c>
      <c r="Y307" s="13" t="s">
        <v>3</v>
      </c>
      <c r="Z307" s="13" t="s">
        <v>2</v>
      </c>
      <c r="AA307" s="13" t="s">
        <v>2</v>
      </c>
      <c r="AB307" s="13" t="s">
        <v>4</v>
      </c>
      <c r="AC307" s="13" t="s">
        <v>3</v>
      </c>
      <c r="AD307" s="13" t="s">
        <v>1259</v>
      </c>
      <c r="AE307" s="19">
        <v>1036352</v>
      </c>
      <c r="AF307" s="36">
        <v>621811.19999999995</v>
      </c>
    </row>
    <row r="308" spans="1:32" x14ac:dyDescent="0.35">
      <c r="A308" s="34">
        <v>55795634535</v>
      </c>
      <c r="B308" s="13" t="s">
        <v>1269</v>
      </c>
      <c r="C308" s="13">
        <v>58116706721</v>
      </c>
      <c r="D308" s="13" t="s">
        <v>48</v>
      </c>
      <c r="E308" s="67" t="s">
        <v>59</v>
      </c>
      <c r="F308" s="13" t="s">
        <v>369</v>
      </c>
      <c r="G308" s="13" t="s">
        <v>463</v>
      </c>
      <c r="H308" s="13" t="s">
        <v>4</v>
      </c>
      <c r="I308" s="15">
        <v>0.6</v>
      </c>
      <c r="J308" s="16">
        <v>45290</v>
      </c>
      <c r="K308" s="17">
        <f t="shared" si="4"/>
        <v>45838</v>
      </c>
      <c r="L308" s="13" t="s">
        <v>464</v>
      </c>
      <c r="M308" s="17"/>
      <c r="N308" s="17"/>
      <c r="O308" s="13"/>
      <c r="P308" s="18"/>
      <c r="Q308" s="17"/>
      <c r="R308" s="13"/>
      <c r="S308" s="13" t="s">
        <v>774</v>
      </c>
      <c r="T308" s="13" t="s">
        <v>1172</v>
      </c>
      <c r="U308" s="19">
        <v>1036352</v>
      </c>
      <c r="V308" s="20">
        <v>621811.19999999995</v>
      </c>
      <c r="W308" s="20">
        <v>103635.20000000001</v>
      </c>
      <c r="X308" s="17">
        <v>45351</v>
      </c>
      <c r="Y308" s="13" t="s">
        <v>4</v>
      </c>
      <c r="Z308" s="13" t="s">
        <v>1258</v>
      </c>
      <c r="AA308" s="13" t="s">
        <v>1258</v>
      </c>
      <c r="AB308" s="13" t="s">
        <v>3</v>
      </c>
      <c r="AC308" s="13" t="s">
        <v>4</v>
      </c>
      <c r="AD308" s="13" t="s">
        <v>1259</v>
      </c>
      <c r="AE308" s="19">
        <v>7762482</v>
      </c>
      <c r="AF308" s="36">
        <v>4657489.2</v>
      </c>
    </row>
    <row r="309" spans="1:32" x14ac:dyDescent="0.35">
      <c r="A309" s="34">
        <v>11442564062</v>
      </c>
      <c r="B309" s="13" t="s">
        <v>1269</v>
      </c>
      <c r="C309" s="13">
        <v>28464991020</v>
      </c>
      <c r="D309" s="13" t="s">
        <v>41</v>
      </c>
      <c r="E309" s="67" t="s">
        <v>59</v>
      </c>
      <c r="F309" s="13" t="s">
        <v>370</v>
      </c>
      <c r="G309" s="13" t="s">
        <v>462</v>
      </c>
      <c r="H309" s="13" t="s">
        <v>3</v>
      </c>
      <c r="I309" s="15">
        <v>0.6</v>
      </c>
      <c r="J309" s="16">
        <v>44996</v>
      </c>
      <c r="K309" s="17">
        <f t="shared" si="4"/>
        <v>45546</v>
      </c>
      <c r="L309" s="13" t="s">
        <v>465</v>
      </c>
      <c r="M309" s="17">
        <v>45036</v>
      </c>
      <c r="N309" s="17">
        <v>45072</v>
      </c>
      <c r="O309" s="13" t="s">
        <v>468</v>
      </c>
      <c r="P309" s="18" t="s">
        <v>471</v>
      </c>
      <c r="Q309" s="17">
        <v>45528</v>
      </c>
      <c r="R309" s="13"/>
      <c r="S309" s="13" t="s">
        <v>775</v>
      </c>
      <c r="T309" s="13" t="s">
        <v>1173</v>
      </c>
      <c r="U309" s="19">
        <v>7762482</v>
      </c>
      <c r="V309" s="20">
        <v>4657489.2</v>
      </c>
      <c r="W309" s="20">
        <v>776248.20000000007</v>
      </c>
      <c r="X309" s="17">
        <v>45354</v>
      </c>
      <c r="Y309" s="13" t="s">
        <v>3</v>
      </c>
      <c r="Z309" s="13" t="s">
        <v>1258</v>
      </c>
      <c r="AA309" s="13" t="s">
        <v>1258</v>
      </c>
      <c r="AB309" s="13" t="s">
        <v>4</v>
      </c>
      <c r="AC309" s="13" t="s">
        <v>3</v>
      </c>
      <c r="AD309" s="13" t="s">
        <v>1258</v>
      </c>
      <c r="AE309" s="19">
        <v>7023939</v>
      </c>
      <c r="AF309" s="36">
        <v>4214363.3999999994</v>
      </c>
    </row>
    <row r="310" spans="1:32" x14ac:dyDescent="0.35">
      <c r="A310" s="34">
        <v>57374120374</v>
      </c>
      <c r="B310" s="13" t="s">
        <v>1269</v>
      </c>
      <c r="C310" s="13">
        <v>49660732382</v>
      </c>
      <c r="D310" s="13" t="s">
        <v>44</v>
      </c>
      <c r="E310" s="67" t="s">
        <v>51</v>
      </c>
      <c r="F310" s="13" t="s">
        <v>371</v>
      </c>
      <c r="G310" s="13" t="s">
        <v>463</v>
      </c>
      <c r="H310" s="13" t="s">
        <v>3</v>
      </c>
      <c r="I310" s="15">
        <v>0.7</v>
      </c>
      <c r="J310" s="16">
        <v>45024</v>
      </c>
      <c r="K310" s="17">
        <f t="shared" si="4"/>
        <v>45573</v>
      </c>
      <c r="L310" s="13" t="s">
        <v>464</v>
      </c>
      <c r="M310" s="17"/>
      <c r="N310" s="17"/>
      <c r="O310" s="13"/>
      <c r="P310" s="18"/>
      <c r="Q310" s="17"/>
      <c r="R310" s="13"/>
      <c r="S310" s="13" t="s">
        <v>776</v>
      </c>
      <c r="T310" s="13" t="s">
        <v>1174</v>
      </c>
      <c r="U310" s="19">
        <v>7023939</v>
      </c>
      <c r="V310" s="20">
        <v>4214363.3999999994</v>
      </c>
      <c r="W310" s="20">
        <v>702393.9</v>
      </c>
      <c r="X310" s="17">
        <v>45615</v>
      </c>
      <c r="Y310" s="13" t="s">
        <v>3</v>
      </c>
      <c r="Z310" s="13" t="s">
        <v>1258</v>
      </c>
      <c r="AA310" s="13" t="s">
        <v>1258</v>
      </c>
      <c r="AB310" s="13" t="s">
        <v>3</v>
      </c>
      <c r="AC310" s="13" t="s">
        <v>3</v>
      </c>
      <c r="AD310" s="13" t="s">
        <v>1259</v>
      </c>
      <c r="AE310" s="19">
        <v>2093208</v>
      </c>
      <c r="AF310" s="36">
        <v>1255924.8</v>
      </c>
    </row>
    <row r="311" spans="1:32" x14ac:dyDescent="0.35">
      <c r="A311" s="34">
        <v>49320268100</v>
      </c>
      <c r="B311" s="13" t="s">
        <v>1269</v>
      </c>
      <c r="C311" s="13">
        <v>10941113130</v>
      </c>
      <c r="D311" s="13" t="s">
        <v>42</v>
      </c>
      <c r="E311" s="67" t="s">
        <v>55</v>
      </c>
      <c r="F311" s="13" t="s">
        <v>372</v>
      </c>
      <c r="G311" s="13" t="s">
        <v>462</v>
      </c>
      <c r="H311" s="13" t="s">
        <v>3</v>
      </c>
      <c r="I311" s="15">
        <v>0.5</v>
      </c>
      <c r="J311" s="16">
        <v>45277</v>
      </c>
      <c r="K311" s="17">
        <f t="shared" si="4"/>
        <v>45825</v>
      </c>
      <c r="L311" s="13" t="s">
        <v>464</v>
      </c>
      <c r="M311" s="17"/>
      <c r="N311" s="17"/>
      <c r="O311" s="13"/>
      <c r="P311" s="18"/>
      <c r="Q311" s="17"/>
      <c r="R311" s="13"/>
      <c r="S311" s="13" t="s">
        <v>777</v>
      </c>
      <c r="T311" s="13" t="s">
        <v>1175</v>
      </c>
      <c r="U311" s="19">
        <v>2093208</v>
      </c>
      <c r="V311" s="20">
        <v>1255924.8</v>
      </c>
      <c r="W311" s="20">
        <v>209320.80000000002</v>
      </c>
      <c r="X311" s="17">
        <v>45494</v>
      </c>
      <c r="Y311" s="13" t="s">
        <v>3</v>
      </c>
      <c r="Z311" s="13" t="s">
        <v>1258</v>
      </c>
      <c r="AA311" s="13" t="s">
        <v>1258</v>
      </c>
      <c r="AB311" s="13" t="s">
        <v>3</v>
      </c>
      <c r="AC311" s="13" t="s">
        <v>3</v>
      </c>
      <c r="AD311" s="13" t="s">
        <v>1258</v>
      </c>
      <c r="AE311" s="19">
        <v>1556696</v>
      </c>
      <c r="AF311" s="36">
        <v>934017.6</v>
      </c>
    </row>
    <row r="312" spans="1:32" x14ac:dyDescent="0.35">
      <c r="A312" s="34">
        <v>80945482033</v>
      </c>
      <c r="B312" s="13" t="s">
        <v>1269</v>
      </c>
      <c r="C312" s="13">
        <v>50593399622</v>
      </c>
      <c r="D312" s="13" t="s">
        <v>50</v>
      </c>
      <c r="E312" s="67" t="s">
        <v>57</v>
      </c>
      <c r="F312" s="13" t="s">
        <v>373</v>
      </c>
      <c r="G312" s="13" t="s">
        <v>463</v>
      </c>
      <c r="H312" s="13" t="s">
        <v>3</v>
      </c>
      <c r="I312" s="15">
        <v>0.5</v>
      </c>
      <c r="J312" s="16">
        <v>45146</v>
      </c>
      <c r="K312" s="17">
        <f t="shared" si="4"/>
        <v>45696</v>
      </c>
      <c r="L312" s="13" t="s">
        <v>465</v>
      </c>
      <c r="M312" s="17">
        <v>44933</v>
      </c>
      <c r="N312" s="17">
        <v>45426</v>
      </c>
      <c r="O312" s="13" t="s">
        <v>468</v>
      </c>
      <c r="P312" s="18" t="s">
        <v>471</v>
      </c>
      <c r="Q312" s="17">
        <v>45517</v>
      </c>
      <c r="R312" s="13"/>
      <c r="S312" s="13" t="s">
        <v>778</v>
      </c>
      <c r="T312" s="13" t="s">
        <v>1176</v>
      </c>
      <c r="U312" s="19">
        <v>1556696</v>
      </c>
      <c r="V312" s="20">
        <v>934017.6</v>
      </c>
      <c r="W312" s="20">
        <v>155669.6</v>
      </c>
      <c r="X312" s="17">
        <v>45654</v>
      </c>
      <c r="Y312" s="13" t="s">
        <v>3</v>
      </c>
      <c r="Z312" s="13" t="s">
        <v>2</v>
      </c>
      <c r="AA312" s="13" t="s">
        <v>2</v>
      </c>
      <c r="AB312" s="13" t="s">
        <v>3</v>
      </c>
      <c r="AC312" s="13" t="s">
        <v>3</v>
      </c>
      <c r="AD312" s="13" t="s">
        <v>1259</v>
      </c>
      <c r="AE312" s="19">
        <v>8956168</v>
      </c>
      <c r="AF312" s="36">
        <v>5373700.7999999998</v>
      </c>
    </row>
    <row r="313" spans="1:32" x14ac:dyDescent="0.35">
      <c r="A313" s="34">
        <v>87102806851</v>
      </c>
      <c r="B313" s="13" t="s">
        <v>1269</v>
      </c>
      <c r="C313" s="13">
        <v>36198900777</v>
      </c>
      <c r="D313" s="13" t="s">
        <v>47</v>
      </c>
      <c r="E313" s="67" t="s">
        <v>59</v>
      </c>
      <c r="F313" s="13" t="s">
        <v>374</v>
      </c>
      <c r="G313" s="13" t="s">
        <v>463</v>
      </c>
      <c r="H313" s="13" t="s">
        <v>4</v>
      </c>
      <c r="I313" s="15">
        <v>0.5</v>
      </c>
      <c r="J313" s="16">
        <v>45140</v>
      </c>
      <c r="K313" s="17">
        <f t="shared" si="4"/>
        <v>45690</v>
      </c>
      <c r="L313" s="13" t="s">
        <v>465</v>
      </c>
      <c r="M313" s="17">
        <v>45169</v>
      </c>
      <c r="N313" s="17">
        <v>45304</v>
      </c>
      <c r="O313" s="13" t="s">
        <v>470</v>
      </c>
      <c r="P313" s="18" t="s">
        <v>471</v>
      </c>
      <c r="Q313" s="17">
        <v>45296</v>
      </c>
      <c r="R313" s="13"/>
      <c r="S313" s="13" t="s">
        <v>779</v>
      </c>
      <c r="T313" s="13" t="s">
        <v>1177</v>
      </c>
      <c r="U313" s="19">
        <v>8956168</v>
      </c>
      <c r="V313" s="20">
        <v>5373700.7999999998</v>
      </c>
      <c r="W313" s="20">
        <v>895616.8</v>
      </c>
      <c r="X313" s="17">
        <v>45507</v>
      </c>
      <c r="Y313" s="13" t="s">
        <v>4</v>
      </c>
      <c r="Z313" s="13" t="s">
        <v>2</v>
      </c>
      <c r="AA313" s="13" t="s">
        <v>2</v>
      </c>
      <c r="AB313" s="13" t="s">
        <v>4</v>
      </c>
      <c r="AC313" s="13" t="s">
        <v>4</v>
      </c>
      <c r="AD313" s="13" t="s">
        <v>1258</v>
      </c>
      <c r="AE313" s="19">
        <v>3080410</v>
      </c>
      <c r="AF313" s="36">
        <v>1848246</v>
      </c>
    </row>
    <row r="314" spans="1:32" x14ac:dyDescent="0.35">
      <c r="A314" s="34">
        <v>57663965179</v>
      </c>
      <c r="B314" s="13" t="s">
        <v>1269</v>
      </c>
      <c r="C314" s="13">
        <v>50654538068</v>
      </c>
      <c r="D314" s="13" t="s">
        <v>50</v>
      </c>
      <c r="E314" s="67" t="s">
        <v>53</v>
      </c>
      <c r="F314" s="13" t="s">
        <v>375</v>
      </c>
      <c r="G314" s="13" t="s">
        <v>463</v>
      </c>
      <c r="H314" s="13" t="s">
        <v>3</v>
      </c>
      <c r="I314" s="15">
        <v>0.6</v>
      </c>
      <c r="J314" s="16">
        <v>45064</v>
      </c>
      <c r="K314" s="17">
        <f t="shared" si="4"/>
        <v>45614</v>
      </c>
      <c r="L314" s="13" t="s">
        <v>465</v>
      </c>
      <c r="M314" s="17">
        <v>45275</v>
      </c>
      <c r="N314" s="17">
        <v>45363</v>
      </c>
      <c r="O314" s="13" t="s">
        <v>470</v>
      </c>
      <c r="P314" s="18" t="s">
        <v>471</v>
      </c>
      <c r="Q314" s="17">
        <v>45365</v>
      </c>
      <c r="R314" s="13"/>
      <c r="S314" s="13" t="s">
        <v>780</v>
      </c>
      <c r="T314" s="13" t="s">
        <v>1178</v>
      </c>
      <c r="U314" s="19">
        <v>3080410</v>
      </c>
      <c r="V314" s="20">
        <v>1848246</v>
      </c>
      <c r="W314" s="20">
        <v>308041</v>
      </c>
      <c r="X314" s="17">
        <v>45586</v>
      </c>
      <c r="Y314" s="13" t="s">
        <v>3</v>
      </c>
      <c r="Z314" s="13" t="s">
        <v>2</v>
      </c>
      <c r="AA314" s="13" t="s">
        <v>2</v>
      </c>
      <c r="AB314" s="13" t="s">
        <v>3</v>
      </c>
      <c r="AC314" s="13" t="s">
        <v>3</v>
      </c>
      <c r="AD314" s="13" t="s">
        <v>1259</v>
      </c>
      <c r="AE314" s="19">
        <v>8980314</v>
      </c>
      <c r="AF314" s="36">
        <v>5388188.3999999994</v>
      </c>
    </row>
    <row r="315" spans="1:32" x14ac:dyDescent="0.35">
      <c r="A315" s="34">
        <v>67383358097</v>
      </c>
      <c r="B315" s="13" t="s">
        <v>1269</v>
      </c>
      <c r="C315" s="13">
        <v>88499965088</v>
      </c>
      <c r="D315" s="13" t="s">
        <v>41</v>
      </c>
      <c r="E315" s="67" t="s">
        <v>58</v>
      </c>
      <c r="F315" s="13" t="s">
        <v>376</v>
      </c>
      <c r="G315" s="13" t="s">
        <v>463</v>
      </c>
      <c r="H315" s="13" t="s">
        <v>4</v>
      </c>
      <c r="I315" s="15">
        <v>0.7</v>
      </c>
      <c r="J315" s="16">
        <v>44974</v>
      </c>
      <c r="K315" s="17">
        <f t="shared" si="4"/>
        <v>45521</v>
      </c>
      <c r="L315" s="13" t="s">
        <v>465</v>
      </c>
      <c r="M315" s="17">
        <v>45140</v>
      </c>
      <c r="N315" s="17">
        <v>45108</v>
      </c>
      <c r="O315" s="13" t="s">
        <v>468</v>
      </c>
      <c r="P315" s="18" t="s">
        <v>469</v>
      </c>
      <c r="Q315" s="17">
        <v>45298</v>
      </c>
      <c r="R315" s="13"/>
      <c r="S315" s="13" t="s">
        <v>781</v>
      </c>
      <c r="T315" s="13" t="s">
        <v>868</v>
      </c>
      <c r="U315" s="19">
        <v>8980314</v>
      </c>
      <c r="V315" s="20">
        <v>5388188.3999999994</v>
      </c>
      <c r="W315" s="20">
        <v>898031.4</v>
      </c>
      <c r="X315" s="17">
        <v>45411</v>
      </c>
      <c r="Y315" s="13" t="s">
        <v>4</v>
      </c>
      <c r="Z315" s="13" t="s">
        <v>1258</v>
      </c>
      <c r="AA315" s="13" t="s">
        <v>1258</v>
      </c>
      <c r="AB315" s="13" t="s">
        <v>3</v>
      </c>
      <c r="AC315" s="13" t="s">
        <v>4</v>
      </c>
      <c r="AD315" s="13" t="s">
        <v>1258</v>
      </c>
      <c r="AE315" s="19">
        <v>8949504</v>
      </c>
      <c r="AF315" s="36">
        <v>5369702.3999999994</v>
      </c>
    </row>
    <row r="316" spans="1:32" x14ac:dyDescent="0.35">
      <c r="A316" s="34">
        <v>41092127069</v>
      </c>
      <c r="B316" s="13" t="s">
        <v>1269</v>
      </c>
      <c r="C316" s="13">
        <v>58176824479</v>
      </c>
      <c r="D316" s="13" t="s">
        <v>41</v>
      </c>
      <c r="E316" s="67" t="s">
        <v>52</v>
      </c>
      <c r="F316" s="13" t="s">
        <v>377</v>
      </c>
      <c r="G316" s="13" t="s">
        <v>463</v>
      </c>
      <c r="H316" s="13" t="s">
        <v>3</v>
      </c>
      <c r="I316" s="15">
        <v>0.6</v>
      </c>
      <c r="J316" s="16">
        <v>45160</v>
      </c>
      <c r="K316" s="17">
        <f t="shared" si="4"/>
        <v>45710</v>
      </c>
      <c r="L316" s="13" t="s">
        <v>465</v>
      </c>
      <c r="M316" s="17">
        <v>45011</v>
      </c>
      <c r="N316" s="17">
        <v>45225</v>
      </c>
      <c r="O316" s="13" t="s">
        <v>470</v>
      </c>
      <c r="P316" s="18" t="s">
        <v>469</v>
      </c>
      <c r="Q316" s="17">
        <v>45603</v>
      </c>
      <c r="R316" s="13"/>
      <c r="S316" s="13" t="s">
        <v>782</v>
      </c>
      <c r="T316" s="13" t="s">
        <v>1179</v>
      </c>
      <c r="U316" s="19">
        <v>8949504</v>
      </c>
      <c r="V316" s="20">
        <v>5369702.3999999994</v>
      </c>
      <c r="W316" s="20">
        <v>894950.40000000002</v>
      </c>
      <c r="X316" s="17">
        <v>45540</v>
      </c>
      <c r="Y316" s="13" t="s">
        <v>3</v>
      </c>
      <c r="Z316" s="13" t="s">
        <v>2</v>
      </c>
      <c r="AA316" s="13" t="s">
        <v>2</v>
      </c>
      <c r="AB316" s="13" t="s">
        <v>4</v>
      </c>
      <c r="AC316" s="13" t="s">
        <v>3</v>
      </c>
      <c r="AD316" s="13" t="s">
        <v>1258</v>
      </c>
      <c r="AE316" s="19">
        <v>1355919</v>
      </c>
      <c r="AF316" s="36">
        <v>813551.4</v>
      </c>
    </row>
    <row r="317" spans="1:32" x14ac:dyDescent="0.35">
      <c r="A317" s="34">
        <v>27124634755</v>
      </c>
      <c r="B317" s="13" t="s">
        <v>1269</v>
      </c>
      <c r="C317" s="13">
        <v>37580754018</v>
      </c>
      <c r="D317" s="13" t="s">
        <v>45</v>
      </c>
      <c r="E317" s="67" t="s">
        <v>52</v>
      </c>
      <c r="F317" s="13" t="s">
        <v>378</v>
      </c>
      <c r="G317" s="13" t="s">
        <v>463</v>
      </c>
      <c r="H317" s="13" t="s">
        <v>3</v>
      </c>
      <c r="I317" s="15">
        <v>0.6</v>
      </c>
      <c r="J317" s="16">
        <v>44960</v>
      </c>
      <c r="K317" s="17">
        <f t="shared" si="4"/>
        <v>45507</v>
      </c>
      <c r="L317" s="13" t="s">
        <v>464</v>
      </c>
      <c r="M317" s="17"/>
      <c r="N317" s="17"/>
      <c r="O317" s="13"/>
      <c r="P317" s="18"/>
      <c r="Q317" s="17"/>
      <c r="R317" s="13"/>
      <c r="S317" s="13" t="s">
        <v>783</v>
      </c>
      <c r="T317" s="13" t="s">
        <v>1180</v>
      </c>
      <c r="U317" s="19">
        <v>1355919</v>
      </c>
      <c r="V317" s="20">
        <v>813551.4</v>
      </c>
      <c r="W317" s="20">
        <v>135591.9</v>
      </c>
      <c r="X317" s="17">
        <v>45518</v>
      </c>
      <c r="Y317" s="13" t="s">
        <v>3</v>
      </c>
      <c r="Z317" s="13" t="s">
        <v>1258</v>
      </c>
      <c r="AA317" s="13" t="s">
        <v>1258</v>
      </c>
      <c r="AB317" s="13" t="s">
        <v>4</v>
      </c>
      <c r="AC317" s="13" t="s">
        <v>3</v>
      </c>
      <c r="AD317" s="13" t="s">
        <v>1258</v>
      </c>
      <c r="AE317" s="19">
        <v>2642214</v>
      </c>
      <c r="AF317" s="36">
        <v>1585328.4</v>
      </c>
    </row>
    <row r="318" spans="1:32" x14ac:dyDescent="0.35">
      <c r="A318" s="34">
        <v>81223462869</v>
      </c>
      <c r="B318" s="13" t="s">
        <v>1269</v>
      </c>
      <c r="C318" s="13">
        <v>72160923027</v>
      </c>
      <c r="D318" s="13" t="s">
        <v>44</v>
      </c>
      <c r="E318" s="67" t="s">
        <v>56</v>
      </c>
      <c r="F318" s="13" t="s">
        <v>379</v>
      </c>
      <c r="G318" s="13" t="s">
        <v>462</v>
      </c>
      <c r="H318" s="13" t="s">
        <v>4</v>
      </c>
      <c r="I318" s="15">
        <v>0.6</v>
      </c>
      <c r="J318" s="16">
        <v>45125</v>
      </c>
      <c r="K318" s="17">
        <f t="shared" si="4"/>
        <v>45675</v>
      </c>
      <c r="L318" s="13" t="s">
        <v>465</v>
      </c>
      <c r="M318" s="17">
        <v>44940</v>
      </c>
      <c r="N318" s="17">
        <v>45406</v>
      </c>
      <c r="O318" s="13" t="s">
        <v>470</v>
      </c>
      <c r="P318" s="18" t="s">
        <v>469</v>
      </c>
      <c r="Q318" s="17">
        <v>45510</v>
      </c>
      <c r="R318" s="13"/>
      <c r="S318" s="13" t="s">
        <v>784</v>
      </c>
      <c r="T318" s="13" t="s">
        <v>1181</v>
      </c>
      <c r="U318" s="19">
        <v>2642214</v>
      </c>
      <c r="V318" s="20">
        <v>1585328.4</v>
      </c>
      <c r="W318" s="20">
        <v>264221.40000000002</v>
      </c>
      <c r="X318" s="17">
        <v>45303</v>
      </c>
      <c r="Y318" s="13" t="s">
        <v>4</v>
      </c>
      <c r="Z318" s="13" t="s">
        <v>2</v>
      </c>
      <c r="AA318" s="13" t="s">
        <v>2</v>
      </c>
      <c r="AB318" s="13" t="s">
        <v>4</v>
      </c>
      <c r="AC318" s="13" t="s">
        <v>4</v>
      </c>
      <c r="AD318" s="13" t="s">
        <v>1259</v>
      </c>
      <c r="AE318" s="19">
        <v>9013098</v>
      </c>
      <c r="AF318" s="36">
        <v>5407858.7999999998</v>
      </c>
    </row>
    <row r="319" spans="1:32" x14ac:dyDescent="0.35">
      <c r="A319" s="34">
        <v>78586936554</v>
      </c>
      <c r="B319" s="13" t="s">
        <v>1269</v>
      </c>
      <c r="C319" s="13">
        <v>15450731894</v>
      </c>
      <c r="D319" s="13" t="s">
        <v>46</v>
      </c>
      <c r="E319" s="67" t="s">
        <v>51</v>
      </c>
      <c r="F319" s="13" t="s">
        <v>380</v>
      </c>
      <c r="G319" s="13" t="s">
        <v>463</v>
      </c>
      <c r="H319" s="13" t="s">
        <v>3</v>
      </c>
      <c r="I319" s="15">
        <v>0.6</v>
      </c>
      <c r="J319" s="16">
        <v>45233</v>
      </c>
      <c r="K319" s="17">
        <f t="shared" si="4"/>
        <v>45780</v>
      </c>
      <c r="L319" s="13" t="s">
        <v>465</v>
      </c>
      <c r="M319" s="17">
        <v>45074</v>
      </c>
      <c r="N319" s="17">
        <v>45255</v>
      </c>
      <c r="O319" s="13" t="s">
        <v>468</v>
      </c>
      <c r="P319" s="18" t="s">
        <v>469</v>
      </c>
      <c r="Q319" s="17">
        <v>45308</v>
      </c>
      <c r="R319" s="13"/>
      <c r="S319" s="13" t="s">
        <v>785</v>
      </c>
      <c r="T319" s="13" t="s">
        <v>1182</v>
      </c>
      <c r="U319" s="19">
        <v>9013098</v>
      </c>
      <c r="V319" s="20">
        <v>5407858.7999999998</v>
      </c>
      <c r="W319" s="20">
        <v>901309.8</v>
      </c>
      <c r="X319" s="17">
        <v>45358</v>
      </c>
      <c r="Y319" s="13" t="s">
        <v>3</v>
      </c>
      <c r="Z319" s="13" t="s">
        <v>2</v>
      </c>
      <c r="AA319" s="13" t="s">
        <v>2</v>
      </c>
      <c r="AB319" s="13" t="s">
        <v>3</v>
      </c>
      <c r="AC319" s="13" t="s">
        <v>3</v>
      </c>
      <c r="AD319" s="13" t="s">
        <v>1259</v>
      </c>
      <c r="AE319" s="19">
        <v>7862688</v>
      </c>
      <c r="AF319" s="36">
        <v>4717612.8</v>
      </c>
    </row>
    <row r="320" spans="1:32" x14ac:dyDescent="0.35">
      <c r="A320" s="34">
        <v>92036090690</v>
      </c>
      <c r="B320" s="13" t="s">
        <v>1269</v>
      </c>
      <c r="C320" s="13">
        <v>52117809786</v>
      </c>
      <c r="D320" s="13" t="s">
        <v>45</v>
      </c>
      <c r="E320" s="67" t="s">
        <v>54</v>
      </c>
      <c r="F320" s="13" t="s">
        <v>381</v>
      </c>
      <c r="G320" s="13" t="s">
        <v>463</v>
      </c>
      <c r="H320" s="13" t="s">
        <v>4</v>
      </c>
      <c r="I320" s="15">
        <v>0.6</v>
      </c>
      <c r="J320" s="16">
        <v>44927</v>
      </c>
      <c r="K320" s="17">
        <f t="shared" si="4"/>
        <v>45474</v>
      </c>
      <c r="L320" s="13" t="s">
        <v>465</v>
      </c>
      <c r="M320" s="17">
        <v>45217</v>
      </c>
      <c r="N320" s="17">
        <v>45269</v>
      </c>
      <c r="O320" s="13" t="s">
        <v>468</v>
      </c>
      <c r="P320" s="18" t="s">
        <v>469</v>
      </c>
      <c r="Q320" s="17">
        <v>45653</v>
      </c>
      <c r="R320" s="13"/>
      <c r="S320" s="13" t="s">
        <v>786</v>
      </c>
      <c r="T320" s="13" t="s">
        <v>1183</v>
      </c>
      <c r="U320" s="19">
        <v>7862688</v>
      </c>
      <c r="V320" s="20">
        <v>4717612.8</v>
      </c>
      <c r="W320" s="20">
        <v>786268.8</v>
      </c>
      <c r="X320" s="17">
        <v>45533</v>
      </c>
      <c r="Y320" s="13" t="s">
        <v>4</v>
      </c>
      <c r="Z320" s="13" t="s">
        <v>2</v>
      </c>
      <c r="AA320" s="13" t="s">
        <v>2</v>
      </c>
      <c r="AB320" s="13" t="s">
        <v>4</v>
      </c>
      <c r="AC320" s="13" t="s">
        <v>4</v>
      </c>
      <c r="AD320" s="13" t="s">
        <v>1259</v>
      </c>
      <c r="AE320" s="19">
        <v>1475398</v>
      </c>
      <c r="AF320" s="36">
        <v>885238.79999999993</v>
      </c>
    </row>
    <row r="321" spans="1:32" x14ac:dyDescent="0.35">
      <c r="A321" s="34">
        <v>33013621436</v>
      </c>
      <c r="B321" s="13" t="s">
        <v>1269</v>
      </c>
      <c r="C321" s="13">
        <v>76556099919</v>
      </c>
      <c r="D321" s="13" t="s">
        <v>46</v>
      </c>
      <c r="E321" s="67" t="s">
        <v>52</v>
      </c>
      <c r="F321" s="13" t="s">
        <v>382</v>
      </c>
      <c r="G321" s="13" t="s">
        <v>462</v>
      </c>
      <c r="H321" s="13" t="s">
        <v>3</v>
      </c>
      <c r="I321" s="15">
        <v>0.5</v>
      </c>
      <c r="J321" s="16">
        <v>45170</v>
      </c>
      <c r="K321" s="17">
        <f t="shared" si="4"/>
        <v>45717</v>
      </c>
      <c r="L321" s="13" t="s">
        <v>464</v>
      </c>
      <c r="M321" s="17"/>
      <c r="N321" s="17"/>
      <c r="O321" s="13"/>
      <c r="P321" s="18"/>
      <c r="Q321" s="17"/>
      <c r="R321" s="13"/>
      <c r="S321" s="13" t="s">
        <v>787</v>
      </c>
      <c r="T321" s="13" t="s">
        <v>1184</v>
      </c>
      <c r="U321" s="19">
        <v>1475398</v>
      </c>
      <c r="V321" s="20">
        <v>885238.79999999993</v>
      </c>
      <c r="W321" s="20">
        <v>147539.80000000002</v>
      </c>
      <c r="X321" s="17">
        <v>45540</v>
      </c>
      <c r="Y321" s="13" t="s">
        <v>3</v>
      </c>
      <c r="Z321" s="13" t="s">
        <v>2</v>
      </c>
      <c r="AA321" s="13" t="s">
        <v>2</v>
      </c>
      <c r="AB321" s="13" t="s">
        <v>4</v>
      </c>
      <c r="AC321" s="13" t="s">
        <v>3</v>
      </c>
      <c r="AD321" s="13" t="s">
        <v>1259</v>
      </c>
      <c r="AE321" s="19">
        <v>3936430</v>
      </c>
      <c r="AF321" s="36">
        <v>2361858</v>
      </c>
    </row>
    <row r="322" spans="1:32" x14ac:dyDescent="0.35">
      <c r="A322" s="34">
        <v>12603974760</v>
      </c>
      <c r="B322" s="13" t="s">
        <v>1269</v>
      </c>
      <c r="C322" s="13">
        <v>41029292219</v>
      </c>
      <c r="D322" s="13" t="s">
        <v>44</v>
      </c>
      <c r="E322" s="67" t="s">
        <v>51</v>
      </c>
      <c r="F322" s="13" t="s">
        <v>383</v>
      </c>
      <c r="G322" s="13" t="s">
        <v>463</v>
      </c>
      <c r="H322" s="13" t="s">
        <v>4</v>
      </c>
      <c r="I322" s="15">
        <v>0.6</v>
      </c>
      <c r="J322" s="16">
        <v>45277</v>
      </c>
      <c r="K322" s="17">
        <f t="shared" si="4"/>
        <v>45825</v>
      </c>
      <c r="L322" s="13" t="s">
        <v>465</v>
      </c>
      <c r="M322" s="17">
        <v>44930</v>
      </c>
      <c r="N322" s="17">
        <v>45353</v>
      </c>
      <c r="O322" s="13" t="s">
        <v>468</v>
      </c>
      <c r="P322" s="18" t="s">
        <v>471</v>
      </c>
      <c r="Q322" s="17">
        <v>45577</v>
      </c>
      <c r="R322" s="13"/>
      <c r="S322" s="13" t="s">
        <v>788</v>
      </c>
      <c r="T322" s="13" t="s">
        <v>1185</v>
      </c>
      <c r="U322" s="19">
        <v>3936430</v>
      </c>
      <c r="V322" s="20">
        <v>2361858</v>
      </c>
      <c r="W322" s="20">
        <v>393643</v>
      </c>
      <c r="X322" s="17">
        <v>45480</v>
      </c>
      <c r="Y322" s="13" t="s">
        <v>4</v>
      </c>
      <c r="Z322" s="13" t="s">
        <v>1258</v>
      </c>
      <c r="AA322" s="13" t="s">
        <v>1258</v>
      </c>
      <c r="AB322" s="13" t="s">
        <v>4</v>
      </c>
      <c r="AC322" s="13" t="s">
        <v>4</v>
      </c>
      <c r="AD322" s="13" t="s">
        <v>1258</v>
      </c>
      <c r="AE322" s="19">
        <v>1239314</v>
      </c>
      <c r="AF322" s="36">
        <v>743588.4</v>
      </c>
    </row>
    <row r="323" spans="1:32" x14ac:dyDescent="0.35">
      <c r="A323" s="34">
        <v>55680405319</v>
      </c>
      <c r="B323" s="13" t="s">
        <v>1269</v>
      </c>
      <c r="C323" s="13">
        <v>16390889055</v>
      </c>
      <c r="D323" s="13" t="s">
        <v>47</v>
      </c>
      <c r="E323" s="67" t="s">
        <v>57</v>
      </c>
      <c r="F323" s="13" t="s">
        <v>384</v>
      </c>
      <c r="G323" s="13" t="s">
        <v>463</v>
      </c>
      <c r="H323" s="13" t="s">
        <v>4</v>
      </c>
      <c r="I323" s="15">
        <v>0.6</v>
      </c>
      <c r="J323" s="16">
        <v>45247</v>
      </c>
      <c r="K323" s="17">
        <f t="shared" si="4"/>
        <v>45794</v>
      </c>
      <c r="L323" s="13" t="s">
        <v>464</v>
      </c>
      <c r="M323" s="17"/>
      <c r="N323" s="17"/>
      <c r="O323" s="13"/>
      <c r="P323" s="18"/>
      <c r="Q323" s="17"/>
      <c r="R323" s="13"/>
      <c r="S323" s="13" t="s">
        <v>64</v>
      </c>
      <c r="T323" s="13" t="s">
        <v>1186</v>
      </c>
      <c r="U323" s="19">
        <v>1239314</v>
      </c>
      <c r="V323" s="20">
        <v>743588.4</v>
      </c>
      <c r="W323" s="20">
        <v>123931.40000000001</v>
      </c>
      <c r="X323" s="17">
        <v>45402</v>
      </c>
      <c r="Y323" s="13" t="s">
        <v>4</v>
      </c>
      <c r="Z323" s="13" t="s">
        <v>1258</v>
      </c>
      <c r="AA323" s="13" t="s">
        <v>1258</v>
      </c>
      <c r="AB323" s="13" t="s">
        <v>4</v>
      </c>
      <c r="AC323" s="13" t="s">
        <v>4</v>
      </c>
      <c r="AD323" s="13" t="s">
        <v>1258</v>
      </c>
      <c r="AE323" s="19">
        <v>7979890</v>
      </c>
      <c r="AF323" s="36">
        <v>4787934</v>
      </c>
    </row>
    <row r="324" spans="1:32" x14ac:dyDescent="0.35">
      <c r="A324" s="34">
        <v>91015401072</v>
      </c>
      <c r="B324" s="13" t="s">
        <v>1269</v>
      </c>
      <c r="C324" s="13">
        <v>60003459882</v>
      </c>
      <c r="D324" s="13" t="s">
        <v>41</v>
      </c>
      <c r="E324" s="67" t="s">
        <v>58</v>
      </c>
      <c r="F324" s="13" t="s">
        <v>385</v>
      </c>
      <c r="G324" s="13" t="s">
        <v>463</v>
      </c>
      <c r="H324" s="13" t="s">
        <v>4</v>
      </c>
      <c r="I324" s="15">
        <v>0.6</v>
      </c>
      <c r="J324" s="16">
        <v>44978</v>
      </c>
      <c r="K324" s="17">
        <f t="shared" ref="K324:K387" si="5">EDATE(J324,18)</f>
        <v>45525</v>
      </c>
      <c r="L324" s="13" t="s">
        <v>464</v>
      </c>
      <c r="M324" s="17"/>
      <c r="N324" s="17"/>
      <c r="O324" s="13"/>
      <c r="P324" s="18"/>
      <c r="Q324" s="17"/>
      <c r="R324" s="13"/>
      <c r="S324" s="13" t="s">
        <v>789</v>
      </c>
      <c r="T324" s="13" t="s">
        <v>1187</v>
      </c>
      <c r="U324" s="19">
        <v>7979890</v>
      </c>
      <c r="V324" s="20">
        <v>4787934</v>
      </c>
      <c r="W324" s="20">
        <v>797989</v>
      </c>
      <c r="X324" s="17">
        <v>45568</v>
      </c>
      <c r="Y324" s="13" t="s">
        <v>4</v>
      </c>
      <c r="Z324" s="13" t="s">
        <v>2</v>
      </c>
      <c r="AA324" s="13" t="s">
        <v>2</v>
      </c>
      <c r="AB324" s="13" t="s">
        <v>4</v>
      </c>
      <c r="AC324" s="13" t="s">
        <v>4</v>
      </c>
      <c r="AD324" s="13" t="s">
        <v>1259</v>
      </c>
      <c r="AE324" s="19">
        <v>3267605</v>
      </c>
      <c r="AF324" s="36">
        <v>1960563</v>
      </c>
    </row>
    <row r="325" spans="1:32" x14ac:dyDescent="0.35">
      <c r="A325" s="34">
        <v>29557451448</v>
      </c>
      <c r="B325" s="13" t="s">
        <v>1269</v>
      </c>
      <c r="C325" s="13">
        <v>82668965269</v>
      </c>
      <c r="D325" s="13" t="s">
        <v>41</v>
      </c>
      <c r="E325" s="67" t="s">
        <v>59</v>
      </c>
      <c r="F325" s="13" t="s">
        <v>386</v>
      </c>
      <c r="G325" s="13" t="s">
        <v>462</v>
      </c>
      <c r="H325" s="13" t="s">
        <v>4</v>
      </c>
      <c r="I325" s="15">
        <v>0.5</v>
      </c>
      <c r="J325" s="16">
        <v>45247</v>
      </c>
      <c r="K325" s="17">
        <f t="shared" si="5"/>
        <v>45794</v>
      </c>
      <c r="L325" s="13" t="s">
        <v>464</v>
      </c>
      <c r="M325" s="17"/>
      <c r="N325" s="17"/>
      <c r="O325" s="13"/>
      <c r="P325" s="18"/>
      <c r="Q325" s="17"/>
      <c r="R325" s="13"/>
      <c r="S325" s="13" t="s">
        <v>790</v>
      </c>
      <c r="T325" s="13" t="s">
        <v>1188</v>
      </c>
      <c r="U325" s="19">
        <v>3267605</v>
      </c>
      <c r="V325" s="20">
        <v>1960563</v>
      </c>
      <c r="W325" s="20">
        <v>326760.5</v>
      </c>
      <c r="X325" s="17">
        <v>45338</v>
      </c>
      <c r="Y325" s="13" t="s">
        <v>4</v>
      </c>
      <c r="Z325" s="13" t="s">
        <v>2</v>
      </c>
      <c r="AA325" s="13" t="s">
        <v>2</v>
      </c>
      <c r="AB325" s="13" t="s">
        <v>3</v>
      </c>
      <c r="AC325" s="13" t="s">
        <v>4</v>
      </c>
      <c r="AD325" s="13" t="s">
        <v>1259</v>
      </c>
      <c r="AE325" s="19">
        <v>1470749</v>
      </c>
      <c r="AF325" s="36">
        <v>882449.4</v>
      </c>
    </row>
    <row r="326" spans="1:32" x14ac:dyDescent="0.35">
      <c r="A326" s="34">
        <v>98968636608</v>
      </c>
      <c r="B326" s="13" t="s">
        <v>1269</v>
      </c>
      <c r="C326" s="13">
        <v>37484066553</v>
      </c>
      <c r="D326" s="13" t="s">
        <v>47</v>
      </c>
      <c r="E326" s="67" t="s">
        <v>51</v>
      </c>
      <c r="F326" s="13" t="s">
        <v>387</v>
      </c>
      <c r="G326" s="13" t="s">
        <v>463</v>
      </c>
      <c r="H326" s="13" t="s">
        <v>3</v>
      </c>
      <c r="I326" s="15">
        <v>0.7</v>
      </c>
      <c r="J326" s="16">
        <v>45209</v>
      </c>
      <c r="K326" s="17">
        <f t="shared" si="5"/>
        <v>45757</v>
      </c>
      <c r="L326" s="13" t="s">
        <v>464</v>
      </c>
      <c r="M326" s="17"/>
      <c r="N326" s="17"/>
      <c r="O326" s="13"/>
      <c r="P326" s="18"/>
      <c r="Q326" s="17"/>
      <c r="R326" s="13"/>
      <c r="S326" s="13" t="s">
        <v>791</v>
      </c>
      <c r="T326" s="13" t="s">
        <v>1189</v>
      </c>
      <c r="U326" s="19">
        <v>1470749</v>
      </c>
      <c r="V326" s="20">
        <v>882449.4</v>
      </c>
      <c r="W326" s="20">
        <v>147074.9</v>
      </c>
      <c r="X326" s="17">
        <v>45489</v>
      </c>
      <c r="Y326" s="13" t="s">
        <v>3</v>
      </c>
      <c r="Z326" s="13" t="s">
        <v>1258</v>
      </c>
      <c r="AA326" s="13" t="s">
        <v>1258</v>
      </c>
      <c r="AB326" s="13" t="s">
        <v>3</v>
      </c>
      <c r="AC326" s="13" t="s">
        <v>3</v>
      </c>
      <c r="AD326" s="13" t="s">
        <v>1259</v>
      </c>
      <c r="AE326" s="19">
        <v>1277109</v>
      </c>
      <c r="AF326" s="36">
        <v>766265.4</v>
      </c>
    </row>
    <row r="327" spans="1:32" x14ac:dyDescent="0.35">
      <c r="A327" s="34">
        <v>15186797141</v>
      </c>
      <c r="B327" s="13" t="s">
        <v>1269</v>
      </c>
      <c r="C327" s="13">
        <v>96350595838</v>
      </c>
      <c r="D327" s="13" t="s">
        <v>42</v>
      </c>
      <c r="E327" s="67" t="s">
        <v>60</v>
      </c>
      <c r="F327" s="13" t="s">
        <v>388</v>
      </c>
      <c r="G327" s="13" t="s">
        <v>463</v>
      </c>
      <c r="H327" s="13" t="s">
        <v>3</v>
      </c>
      <c r="I327" s="15">
        <v>0.7</v>
      </c>
      <c r="J327" s="16">
        <v>45105</v>
      </c>
      <c r="K327" s="17">
        <f t="shared" si="5"/>
        <v>45654</v>
      </c>
      <c r="L327" s="13" t="s">
        <v>464</v>
      </c>
      <c r="M327" s="17"/>
      <c r="N327" s="17"/>
      <c r="O327" s="13"/>
      <c r="P327" s="18"/>
      <c r="Q327" s="17"/>
      <c r="R327" s="13"/>
      <c r="S327" s="13" t="s">
        <v>792</v>
      </c>
      <c r="T327" s="13" t="s">
        <v>1190</v>
      </c>
      <c r="U327" s="19">
        <v>1277109</v>
      </c>
      <c r="V327" s="20">
        <v>766265.4</v>
      </c>
      <c r="W327" s="20">
        <v>127710.90000000001</v>
      </c>
      <c r="X327" s="17">
        <v>45314</v>
      </c>
      <c r="Y327" s="13" t="s">
        <v>3</v>
      </c>
      <c r="Z327" s="13" t="s">
        <v>2</v>
      </c>
      <c r="AA327" s="13" t="s">
        <v>2</v>
      </c>
      <c r="AB327" s="13" t="s">
        <v>4</v>
      </c>
      <c r="AC327" s="13" t="s">
        <v>3</v>
      </c>
      <c r="AD327" s="13" t="s">
        <v>1259</v>
      </c>
      <c r="AE327" s="19">
        <v>9838401</v>
      </c>
      <c r="AF327" s="36">
        <v>5903040.5999999996</v>
      </c>
    </row>
    <row r="328" spans="1:32" x14ac:dyDescent="0.35">
      <c r="A328" s="34">
        <v>43247093360</v>
      </c>
      <c r="B328" s="13" t="s">
        <v>1269</v>
      </c>
      <c r="C328" s="13">
        <v>86077305905</v>
      </c>
      <c r="D328" s="13" t="s">
        <v>48</v>
      </c>
      <c r="E328" s="67" t="s">
        <v>59</v>
      </c>
      <c r="F328" s="13" t="s">
        <v>389</v>
      </c>
      <c r="G328" s="13" t="s">
        <v>463</v>
      </c>
      <c r="H328" s="13" t="s">
        <v>4</v>
      </c>
      <c r="I328" s="15">
        <v>0.6</v>
      </c>
      <c r="J328" s="16">
        <v>45119</v>
      </c>
      <c r="K328" s="17">
        <f t="shared" si="5"/>
        <v>45669</v>
      </c>
      <c r="L328" s="13" t="s">
        <v>465</v>
      </c>
      <c r="M328" s="17">
        <v>45244</v>
      </c>
      <c r="N328" s="17">
        <v>45326</v>
      </c>
      <c r="O328" s="13" t="s">
        <v>470</v>
      </c>
      <c r="P328" s="18" t="s">
        <v>471</v>
      </c>
      <c r="Q328" s="17">
        <v>45402</v>
      </c>
      <c r="R328" s="13"/>
      <c r="S328" s="13" t="s">
        <v>793</v>
      </c>
      <c r="T328" s="13" t="s">
        <v>1191</v>
      </c>
      <c r="U328" s="19">
        <v>9838401</v>
      </c>
      <c r="V328" s="20">
        <v>5903040.5999999996</v>
      </c>
      <c r="W328" s="20">
        <v>983840.10000000009</v>
      </c>
      <c r="X328" s="17">
        <v>45546</v>
      </c>
      <c r="Y328" s="13" t="s">
        <v>4</v>
      </c>
      <c r="Z328" s="13" t="s">
        <v>2</v>
      </c>
      <c r="AA328" s="13" t="s">
        <v>2</v>
      </c>
      <c r="AB328" s="13" t="s">
        <v>3</v>
      </c>
      <c r="AC328" s="13" t="s">
        <v>4</v>
      </c>
      <c r="AD328" s="13" t="s">
        <v>1259</v>
      </c>
      <c r="AE328" s="19">
        <v>6257100</v>
      </c>
      <c r="AF328" s="36">
        <v>3754260</v>
      </c>
    </row>
    <row r="329" spans="1:32" x14ac:dyDescent="0.35">
      <c r="A329" s="34">
        <v>19408321686</v>
      </c>
      <c r="B329" s="13" t="s">
        <v>1269</v>
      </c>
      <c r="C329" s="13">
        <v>87104375903</v>
      </c>
      <c r="D329" s="13" t="s">
        <v>42</v>
      </c>
      <c r="E329" s="67" t="s">
        <v>56</v>
      </c>
      <c r="F329" s="13" t="s">
        <v>390</v>
      </c>
      <c r="G329" s="13" t="s">
        <v>463</v>
      </c>
      <c r="H329" s="13" t="s">
        <v>4</v>
      </c>
      <c r="I329" s="15">
        <v>0.7</v>
      </c>
      <c r="J329" s="16">
        <v>45087</v>
      </c>
      <c r="K329" s="17">
        <f t="shared" si="5"/>
        <v>45636</v>
      </c>
      <c r="L329" s="13" t="s">
        <v>464</v>
      </c>
      <c r="M329" s="17"/>
      <c r="N329" s="17"/>
      <c r="O329" s="13"/>
      <c r="P329" s="18"/>
      <c r="Q329" s="17"/>
      <c r="R329" s="13"/>
      <c r="S329" s="13" t="s">
        <v>794</v>
      </c>
      <c r="T329" s="13" t="s">
        <v>1157</v>
      </c>
      <c r="U329" s="19">
        <v>6257100</v>
      </c>
      <c r="V329" s="20">
        <v>3754260</v>
      </c>
      <c r="W329" s="20">
        <v>625710</v>
      </c>
      <c r="X329" s="17">
        <v>45320</v>
      </c>
      <c r="Y329" s="13" t="s">
        <v>4</v>
      </c>
      <c r="Z329" s="13" t="s">
        <v>2</v>
      </c>
      <c r="AA329" s="13" t="s">
        <v>2</v>
      </c>
      <c r="AB329" s="13" t="s">
        <v>4</v>
      </c>
      <c r="AC329" s="13" t="s">
        <v>4</v>
      </c>
      <c r="AD329" s="13" t="s">
        <v>1258</v>
      </c>
      <c r="AE329" s="19">
        <v>7192722</v>
      </c>
      <c r="AF329" s="36">
        <v>4315633.2</v>
      </c>
    </row>
    <row r="330" spans="1:32" x14ac:dyDescent="0.35">
      <c r="A330" s="34">
        <v>70659764733</v>
      </c>
      <c r="B330" s="13" t="s">
        <v>1269</v>
      </c>
      <c r="C330" s="13">
        <v>36914977898</v>
      </c>
      <c r="D330" s="13" t="s">
        <v>43</v>
      </c>
      <c r="E330" s="67" t="s">
        <v>57</v>
      </c>
      <c r="F330" s="13" t="s">
        <v>391</v>
      </c>
      <c r="G330" s="13" t="s">
        <v>462</v>
      </c>
      <c r="H330" s="13" t="s">
        <v>4</v>
      </c>
      <c r="I330" s="15">
        <v>0.7</v>
      </c>
      <c r="J330" s="16">
        <v>45269</v>
      </c>
      <c r="K330" s="17">
        <f t="shared" si="5"/>
        <v>45817</v>
      </c>
      <c r="L330" s="13" t="s">
        <v>464</v>
      </c>
      <c r="M330" s="17"/>
      <c r="N330" s="17"/>
      <c r="O330" s="13"/>
      <c r="P330" s="18"/>
      <c r="Q330" s="17"/>
      <c r="R330" s="13"/>
      <c r="S330" s="13" t="s">
        <v>795</v>
      </c>
      <c r="T330" s="13" t="s">
        <v>1192</v>
      </c>
      <c r="U330" s="19">
        <v>7192722</v>
      </c>
      <c r="V330" s="20">
        <v>4315633.2</v>
      </c>
      <c r="W330" s="20">
        <v>719272.20000000007</v>
      </c>
      <c r="X330" s="17">
        <v>45416</v>
      </c>
      <c r="Y330" s="13" t="s">
        <v>4</v>
      </c>
      <c r="Z330" s="13" t="s">
        <v>1258</v>
      </c>
      <c r="AA330" s="13" t="s">
        <v>1258</v>
      </c>
      <c r="AB330" s="13" t="s">
        <v>4</v>
      </c>
      <c r="AC330" s="13" t="s">
        <v>4</v>
      </c>
      <c r="AD330" s="13" t="s">
        <v>1259</v>
      </c>
      <c r="AE330" s="19">
        <v>3851946</v>
      </c>
      <c r="AF330" s="36">
        <v>2311167.6</v>
      </c>
    </row>
    <row r="331" spans="1:32" x14ac:dyDescent="0.35">
      <c r="A331" s="34">
        <v>80723693074</v>
      </c>
      <c r="B331" s="13" t="s">
        <v>1269</v>
      </c>
      <c r="C331" s="13">
        <v>87146242401</v>
      </c>
      <c r="D331" s="13" t="s">
        <v>41</v>
      </c>
      <c r="E331" s="67" t="s">
        <v>59</v>
      </c>
      <c r="F331" s="13" t="s">
        <v>392</v>
      </c>
      <c r="G331" s="13" t="s">
        <v>463</v>
      </c>
      <c r="H331" s="13" t="s">
        <v>4</v>
      </c>
      <c r="I331" s="15">
        <v>0.6</v>
      </c>
      <c r="J331" s="16">
        <v>45261</v>
      </c>
      <c r="K331" s="17">
        <f t="shared" si="5"/>
        <v>45809</v>
      </c>
      <c r="L331" s="13" t="s">
        <v>465</v>
      </c>
      <c r="M331" s="17">
        <v>45030</v>
      </c>
      <c r="N331" s="17">
        <v>45452</v>
      </c>
      <c r="O331" s="13" t="s">
        <v>468</v>
      </c>
      <c r="P331" s="18" t="s">
        <v>469</v>
      </c>
      <c r="Q331" s="17">
        <v>45655</v>
      </c>
      <c r="R331" s="13"/>
      <c r="S331" s="13" t="s">
        <v>796</v>
      </c>
      <c r="T331" s="13" t="s">
        <v>1193</v>
      </c>
      <c r="U331" s="19">
        <v>3851946</v>
      </c>
      <c r="V331" s="20">
        <v>2311167.6</v>
      </c>
      <c r="W331" s="20">
        <v>385194.60000000003</v>
      </c>
      <c r="X331" s="17">
        <v>45580</v>
      </c>
      <c r="Y331" s="13" t="s">
        <v>4</v>
      </c>
      <c r="Z331" s="13" t="s">
        <v>1258</v>
      </c>
      <c r="AA331" s="13" t="s">
        <v>1258</v>
      </c>
      <c r="AB331" s="13" t="s">
        <v>3</v>
      </c>
      <c r="AC331" s="13" t="s">
        <v>4</v>
      </c>
      <c r="AD331" s="13" t="s">
        <v>1258</v>
      </c>
      <c r="AE331" s="19">
        <v>8622524</v>
      </c>
      <c r="AF331" s="36">
        <v>5173514.3999999994</v>
      </c>
    </row>
    <row r="332" spans="1:32" x14ac:dyDescent="0.35">
      <c r="A332" s="34">
        <v>96012509598</v>
      </c>
      <c r="B332" s="13" t="s">
        <v>1269</v>
      </c>
      <c r="C332" s="13">
        <v>27335283756</v>
      </c>
      <c r="D332" s="13" t="s">
        <v>42</v>
      </c>
      <c r="E332" s="67" t="s">
        <v>59</v>
      </c>
      <c r="F332" s="13" t="s">
        <v>393</v>
      </c>
      <c r="G332" s="13" t="s">
        <v>463</v>
      </c>
      <c r="H332" s="13" t="s">
        <v>3</v>
      </c>
      <c r="I332" s="15">
        <v>0.6</v>
      </c>
      <c r="J332" s="16">
        <v>44968</v>
      </c>
      <c r="K332" s="17">
        <f t="shared" si="5"/>
        <v>45515</v>
      </c>
      <c r="L332" s="13" t="s">
        <v>464</v>
      </c>
      <c r="M332" s="17"/>
      <c r="N332" s="17"/>
      <c r="O332" s="13"/>
      <c r="P332" s="18"/>
      <c r="Q332" s="17"/>
      <c r="R332" s="13"/>
      <c r="S332" s="13" t="s">
        <v>797</v>
      </c>
      <c r="T332" s="13" t="s">
        <v>1194</v>
      </c>
      <c r="U332" s="19">
        <v>8622524</v>
      </c>
      <c r="V332" s="20">
        <v>5173514.3999999994</v>
      </c>
      <c r="W332" s="20">
        <v>862252.4</v>
      </c>
      <c r="X332" s="17">
        <v>45556</v>
      </c>
      <c r="Y332" s="13" t="s">
        <v>3</v>
      </c>
      <c r="Z332" s="13" t="s">
        <v>2</v>
      </c>
      <c r="AA332" s="13" t="s">
        <v>2</v>
      </c>
      <c r="AB332" s="13" t="s">
        <v>3</v>
      </c>
      <c r="AC332" s="13" t="s">
        <v>3</v>
      </c>
      <c r="AD332" s="13" t="s">
        <v>1259</v>
      </c>
      <c r="AE332" s="19">
        <v>1142382</v>
      </c>
      <c r="AF332" s="36">
        <v>685429.2</v>
      </c>
    </row>
    <row r="333" spans="1:32" x14ac:dyDescent="0.35">
      <c r="A333" s="34">
        <v>54501561228</v>
      </c>
      <c r="B333" s="13" t="s">
        <v>1269</v>
      </c>
      <c r="C333" s="13">
        <v>97416235416</v>
      </c>
      <c r="D333" s="13" t="s">
        <v>48</v>
      </c>
      <c r="E333" s="67" t="s">
        <v>51</v>
      </c>
      <c r="F333" s="13" t="s">
        <v>394</v>
      </c>
      <c r="G333" s="13" t="s">
        <v>462</v>
      </c>
      <c r="H333" s="13" t="s">
        <v>4</v>
      </c>
      <c r="I333" s="15">
        <v>0.6</v>
      </c>
      <c r="J333" s="16">
        <v>45282</v>
      </c>
      <c r="K333" s="17">
        <f t="shared" si="5"/>
        <v>45830</v>
      </c>
      <c r="L333" s="13" t="s">
        <v>464</v>
      </c>
      <c r="M333" s="17"/>
      <c r="N333" s="17"/>
      <c r="O333" s="13"/>
      <c r="P333" s="18"/>
      <c r="Q333" s="17"/>
      <c r="R333" s="13"/>
      <c r="S333" s="13" t="s">
        <v>798</v>
      </c>
      <c r="T333" s="13" t="s">
        <v>1195</v>
      </c>
      <c r="U333" s="19">
        <v>1142382</v>
      </c>
      <c r="V333" s="20">
        <v>685429.2</v>
      </c>
      <c r="W333" s="20">
        <v>114238.20000000001</v>
      </c>
      <c r="X333" s="17">
        <v>45345</v>
      </c>
      <c r="Y333" s="13" t="s">
        <v>4</v>
      </c>
      <c r="Z333" s="13" t="s">
        <v>2</v>
      </c>
      <c r="AA333" s="13" t="s">
        <v>2</v>
      </c>
      <c r="AB333" s="13" t="s">
        <v>4</v>
      </c>
      <c r="AC333" s="13" t="s">
        <v>4</v>
      </c>
      <c r="AD333" s="13" t="s">
        <v>1258</v>
      </c>
      <c r="AE333" s="19">
        <v>4692350</v>
      </c>
      <c r="AF333" s="36">
        <v>2815410</v>
      </c>
    </row>
    <row r="334" spans="1:32" x14ac:dyDescent="0.35">
      <c r="A334" s="34">
        <v>80976153577</v>
      </c>
      <c r="B334" s="13" t="s">
        <v>1269</v>
      </c>
      <c r="C334" s="13">
        <v>62916537990</v>
      </c>
      <c r="D334" s="13" t="s">
        <v>43</v>
      </c>
      <c r="E334" s="67" t="s">
        <v>60</v>
      </c>
      <c r="F334" s="13" t="s">
        <v>395</v>
      </c>
      <c r="G334" s="13" t="s">
        <v>462</v>
      </c>
      <c r="H334" s="13" t="s">
        <v>3</v>
      </c>
      <c r="I334" s="15">
        <v>0.6</v>
      </c>
      <c r="J334" s="16">
        <v>45263</v>
      </c>
      <c r="K334" s="17">
        <f t="shared" si="5"/>
        <v>45811</v>
      </c>
      <c r="L334" s="13" t="s">
        <v>464</v>
      </c>
      <c r="M334" s="17"/>
      <c r="N334" s="17"/>
      <c r="O334" s="13"/>
      <c r="P334" s="18"/>
      <c r="Q334" s="17"/>
      <c r="R334" s="13"/>
      <c r="S334" s="13" t="s">
        <v>799</v>
      </c>
      <c r="T334" s="13" t="s">
        <v>1196</v>
      </c>
      <c r="U334" s="19">
        <v>4692350</v>
      </c>
      <c r="V334" s="20">
        <v>2815410</v>
      </c>
      <c r="W334" s="20">
        <v>469235</v>
      </c>
      <c r="X334" s="17">
        <v>45619</v>
      </c>
      <c r="Y334" s="13" t="s">
        <v>3</v>
      </c>
      <c r="Z334" s="13" t="s">
        <v>2</v>
      </c>
      <c r="AA334" s="13" t="s">
        <v>2</v>
      </c>
      <c r="AB334" s="13" t="s">
        <v>4</v>
      </c>
      <c r="AC334" s="13" t="s">
        <v>3</v>
      </c>
      <c r="AD334" s="13" t="s">
        <v>1259</v>
      </c>
      <c r="AE334" s="19">
        <v>2599178</v>
      </c>
      <c r="AF334" s="36">
        <v>1559506.8</v>
      </c>
    </row>
    <row r="335" spans="1:32" x14ac:dyDescent="0.35">
      <c r="A335" s="34">
        <v>49394260134</v>
      </c>
      <c r="B335" s="13" t="s">
        <v>1269</v>
      </c>
      <c r="C335" s="13">
        <v>12112062885</v>
      </c>
      <c r="D335" s="13" t="s">
        <v>44</v>
      </c>
      <c r="E335" s="67" t="s">
        <v>53</v>
      </c>
      <c r="F335" s="13" t="s">
        <v>396</v>
      </c>
      <c r="G335" s="13" t="s">
        <v>463</v>
      </c>
      <c r="H335" s="13" t="s">
        <v>4</v>
      </c>
      <c r="I335" s="15">
        <v>0.6</v>
      </c>
      <c r="J335" s="16">
        <v>45128</v>
      </c>
      <c r="K335" s="17">
        <f t="shared" si="5"/>
        <v>45678</v>
      </c>
      <c r="L335" s="13" t="s">
        <v>464</v>
      </c>
      <c r="M335" s="17"/>
      <c r="N335" s="17"/>
      <c r="O335" s="13"/>
      <c r="P335" s="18"/>
      <c r="Q335" s="17"/>
      <c r="R335" s="13"/>
      <c r="S335" s="13" t="s">
        <v>800</v>
      </c>
      <c r="T335" s="13" t="s">
        <v>1197</v>
      </c>
      <c r="U335" s="19">
        <v>2599178</v>
      </c>
      <c r="V335" s="20">
        <v>1559506.8</v>
      </c>
      <c r="W335" s="20">
        <v>259917.80000000002</v>
      </c>
      <c r="X335" s="17">
        <v>45360</v>
      </c>
      <c r="Y335" s="13" t="s">
        <v>4</v>
      </c>
      <c r="Z335" s="13" t="s">
        <v>1258</v>
      </c>
      <c r="AA335" s="13" t="s">
        <v>1258</v>
      </c>
      <c r="AB335" s="13" t="s">
        <v>3</v>
      </c>
      <c r="AC335" s="13" t="s">
        <v>4</v>
      </c>
      <c r="AD335" s="13" t="s">
        <v>1258</v>
      </c>
      <c r="AE335" s="19">
        <v>7687473</v>
      </c>
      <c r="AF335" s="36">
        <v>4612483.8</v>
      </c>
    </row>
    <row r="336" spans="1:32" x14ac:dyDescent="0.35">
      <c r="A336" s="34">
        <v>67654347679</v>
      </c>
      <c r="B336" s="13" t="s">
        <v>1269</v>
      </c>
      <c r="C336" s="13">
        <v>49577406926</v>
      </c>
      <c r="D336" s="13" t="s">
        <v>41</v>
      </c>
      <c r="E336" s="67" t="s">
        <v>53</v>
      </c>
      <c r="F336" s="13" t="s">
        <v>397</v>
      </c>
      <c r="G336" s="13" t="s">
        <v>462</v>
      </c>
      <c r="H336" s="13" t="s">
        <v>3</v>
      </c>
      <c r="I336" s="15">
        <v>0.6</v>
      </c>
      <c r="J336" s="16">
        <v>45104</v>
      </c>
      <c r="K336" s="17">
        <f t="shared" si="5"/>
        <v>45653</v>
      </c>
      <c r="L336" s="13" t="s">
        <v>465</v>
      </c>
      <c r="M336" s="17">
        <v>45134</v>
      </c>
      <c r="N336" s="17">
        <v>45187</v>
      </c>
      <c r="O336" s="13" t="s">
        <v>468</v>
      </c>
      <c r="P336" s="18" t="s">
        <v>469</v>
      </c>
      <c r="Q336" s="17">
        <v>45381</v>
      </c>
      <c r="R336" s="13"/>
      <c r="S336" s="13" t="s">
        <v>801</v>
      </c>
      <c r="T336" s="13" t="s">
        <v>1198</v>
      </c>
      <c r="U336" s="19">
        <v>7687473</v>
      </c>
      <c r="V336" s="20">
        <v>4612483.8</v>
      </c>
      <c r="W336" s="20">
        <v>768747.3</v>
      </c>
      <c r="X336" s="17">
        <v>45399</v>
      </c>
      <c r="Y336" s="13" t="s">
        <v>3</v>
      </c>
      <c r="Z336" s="13" t="s">
        <v>1258</v>
      </c>
      <c r="AA336" s="13" t="s">
        <v>1258</v>
      </c>
      <c r="AB336" s="13" t="s">
        <v>4</v>
      </c>
      <c r="AC336" s="13" t="s">
        <v>3</v>
      </c>
      <c r="AD336" s="13" t="s">
        <v>1258</v>
      </c>
      <c r="AE336" s="19">
        <v>3020684</v>
      </c>
      <c r="AF336" s="36">
        <v>1812410.4</v>
      </c>
    </row>
    <row r="337" spans="1:32" x14ac:dyDescent="0.35">
      <c r="A337" s="34">
        <v>43159330657</v>
      </c>
      <c r="B337" s="13" t="s">
        <v>1269</v>
      </c>
      <c r="C337" s="13">
        <v>46394845547</v>
      </c>
      <c r="D337" s="13" t="s">
        <v>50</v>
      </c>
      <c r="E337" s="67" t="s">
        <v>55</v>
      </c>
      <c r="F337" s="13" t="s">
        <v>398</v>
      </c>
      <c r="G337" s="13" t="s">
        <v>463</v>
      </c>
      <c r="H337" s="13" t="s">
        <v>4</v>
      </c>
      <c r="I337" s="15">
        <v>0.5</v>
      </c>
      <c r="J337" s="16">
        <v>45249</v>
      </c>
      <c r="K337" s="17">
        <f t="shared" si="5"/>
        <v>45796</v>
      </c>
      <c r="L337" s="13" t="s">
        <v>465</v>
      </c>
      <c r="M337" s="17">
        <v>45203</v>
      </c>
      <c r="N337" s="17">
        <v>45265</v>
      </c>
      <c r="O337" s="13" t="s">
        <v>468</v>
      </c>
      <c r="P337" s="18" t="s">
        <v>471</v>
      </c>
      <c r="Q337" s="17">
        <v>45632</v>
      </c>
      <c r="R337" s="13"/>
      <c r="S337" s="13" t="s">
        <v>802</v>
      </c>
      <c r="T337" s="13" t="s">
        <v>1199</v>
      </c>
      <c r="U337" s="19">
        <v>3020684</v>
      </c>
      <c r="V337" s="20">
        <v>1812410.4</v>
      </c>
      <c r="W337" s="20">
        <v>302068.40000000002</v>
      </c>
      <c r="X337" s="17">
        <v>45564</v>
      </c>
      <c r="Y337" s="13" t="s">
        <v>4</v>
      </c>
      <c r="Z337" s="13" t="s">
        <v>1258</v>
      </c>
      <c r="AA337" s="13" t="s">
        <v>1258</v>
      </c>
      <c r="AB337" s="13" t="s">
        <v>4</v>
      </c>
      <c r="AC337" s="13" t="s">
        <v>4</v>
      </c>
      <c r="AD337" s="13" t="s">
        <v>1258</v>
      </c>
      <c r="AE337" s="19">
        <v>4514408</v>
      </c>
      <c r="AF337" s="36">
        <v>2708644.8</v>
      </c>
    </row>
    <row r="338" spans="1:32" x14ac:dyDescent="0.35">
      <c r="A338" s="34">
        <v>70253696372</v>
      </c>
      <c r="B338" s="13" t="s">
        <v>1269</v>
      </c>
      <c r="C338" s="13">
        <v>64507890838</v>
      </c>
      <c r="D338" s="13" t="s">
        <v>49</v>
      </c>
      <c r="E338" s="67" t="s">
        <v>52</v>
      </c>
      <c r="F338" s="13" t="s">
        <v>399</v>
      </c>
      <c r="G338" s="13" t="s">
        <v>463</v>
      </c>
      <c r="H338" s="13" t="s">
        <v>3</v>
      </c>
      <c r="I338" s="15">
        <v>0.7</v>
      </c>
      <c r="J338" s="16">
        <v>44944</v>
      </c>
      <c r="K338" s="17">
        <f t="shared" si="5"/>
        <v>45491</v>
      </c>
      <c r="L338" s="13" t="s">
        <v>465</v>
      </c>
      <c r="M338" s="17">
        <v>45276</v>
      </c>
      <c r="N338" s="17">
        <v>45260</v>
      </c>
      <c r="O338" s="13" t="s">
        <v>468</v>
      </c>
      <c r="P338" s="18" t="s">
        <v>471</v>
      </c>
      <c r="Q338" s="17">
        <v>45336</v>
      </c>
      <c r="R338" s="13"/>
      <c r="S338" s="13" t="s">
        <v>803</v>
      </c>
      <c r="T338" s="13" t="s">
        <v>1200</v>
      </c>
      <c r="U338" s="19">
        <v>4514408</v>
      </c>
      <c r="V338" s="20">
        <v>2708644.8</v>
      </c>
      <c r="W338" s="20">
        <v>451440.80000000005</v>
      </c>
      <c r="X338" s="17">
        <v>45310</v>
      </c>
      <c r="Y338" s="13" t="s">
        <v>3</v>
      </c>
      <c r="Z338" s="13" t="s">
        <v>1258</v>
      </c>
      <c r="AA338" s="13" t="s">
        <v>1258</v>
      </c>
      <c r="AB338" s="13" t="s">
        <v>3</v>
      </c>
      <c r="AC338" s="13" t="s">
        <v>3</v>
      </c>
      <c r="AD338" s="13" t="s">
        <v>1259</v>
      </c>
      <c r="AE338" s="19">
        <v>1830275</v>
      </c>
      <c r="AF338" s="36">
        <v>1098165</v>
      </c>
    </row>
    <row r="339" spans="1:32" x14ac:dyDescent="0.35">
      <c r="A339" s="34">
        <v>52492945986</v>
      </c>
      <c r="B339" s="13" t="s">
        <v>1269</v>
      </c>
      <c r="C339" s="13">
        <v>74163088435</v>
      </c>
      <c r="D339" s="13" t="s">
        <v>42</v>
      </c>
      <c r="E339" s="67" t="s">
        <v>57</v>
      </c>
      <c r="F339" s="13" t="s">
        <v>400</v>
      </c>
      <c r="G339" s="13" t="s">
        <v>463</v>
      </c>
      <c r="H339" s="13" t="s">
        <v>4</v>
      </c>
      <c r="I339" s="15">
        <v>0.6</v>
      </c>
      <c r="J339" s="16">
        <v>44927</v>
      </c>
      <c r="K339" s="17">
        <f t="shared" si="5"/>
        <v>45474</v>
      </c>
      <c r="L339" s="13" t="s">
        <v>465</v>
      </c>
      <c r="M339" s="17">
        <v>44975</v>
      </c>
      <c r="N339" s="17">
        <v>45082</v>
      </c>
      <c r="O339" s="13" t="s">
        <v>468</v>
      </c>
      <c r="P339" s="18" t="s">
        <v>471</v>
      </c>
      <c r="Q339" s="17">
        <v>45615</v>
      </c>
      <c r="R339" s="13"/>
      <c r="S339" s="13" t="s">
        <v>804</v>
      </c>
      <c r="T339" s="13" t="s">
        <v>1201</v>
      </c>
      <c r="U339" s="19">
        <v>1830275</v>
      </c>
      <c r="V339" s="20">
        <v>1098165</v>
      </c>
      <c r="W339" s="20">
        <v>183027.5</v>
      </c>
      <c r="X339" s="17">
        <v>45553</v>
      </c>
      <c r="Y339" s="13" t="s">
        <v>4</v>
      </c>
      <c r="Z339" s="13" t="s">
        <v>2</v>
      </c>
      <c r="AA339" s="13" t="s">
        <v>2</v>
      </c>
      <c r="AB339" s="13" t="s">
        <v>3</v>
      </c>
      <c r="AC339" s="13" t="s">
        <v>4</v>
      </c>
      <c r="AD339" s="13" t="s">
        <v>1258</v>
      </c>
      <c r="AE339" s="19">
        <v>7142329</v>
      </c>
      <c r="AF339" s="36">
        <v>4285397.3999999994</v>
      </c>
    </row>
    <row r="340" spans="1:32" x14ac:dyDescent="0.35">
      <c r="A340" s="34">
        <v>18551883377</v>
      </c>
      <c r="B340" s="13" t="s">
        <v>1269</v>
      </c>
      <c r="C340" s="13">
        <v>12215190700</v>
      </c>
      <c r="D340" s="13" t="s">
        <v>42</v>
      </c>
      <c r="E340" s="67" t="s">
        <v>58</v>
      </c>
      <c r="F340" s="13" t="s">
        <v>401</v>
      </c>
      <c r="G340" s="13" t="s">
        <v>462</v>
      </c>
      <c r="H340" s="13" t="s">
        <v>3</v>
      </c>
      <c r="I340" s="15">
        <v>0.5</v>
      </c>
      <c r="J340" s="16">
        <v>45219</v>
      </c>
      <c r="K340" s="17">
        <f t="shared" si="5"/>
        <v>45767</v>
      </c>
      <c r="L340" s="13" t="s">
        <v>464</v>
      </c>
      <c r="M340" s="17"/>
      <c r="N340" s="17"/>
      <c r="O340" s="13"/>
      <c r="P340" s="18"/>
      <c r="Q340" s="17"/>
      <c r="R340" s="13"/>
      <c r="S340" s="13" t="s">
        <v>805</v>
      </c>
      <c r="T340" s="13" t="s">
        <v>1202</v>
      </c>
      <c r="U340" s="19">
        <v>7142329</v>
      </c>
      <c r="V340" s="20">
        <v>4285397.3999999994</v>
      </c>
      <c r="W340" s="20">
        <v>714232.9</v>
      </c>
      <c r="X340" s="17">
        <v>45599</v>
      </c>
      <c r="Y340" s="13" t="s">
        <v>3</v>
      </c>
      <c r="Z340" s="13" t="s">
        <v>2</v>
      </c>
      <c r="AA340" s="13" t="s">
        <v>2</v>
      </c>
      <c r="AB340" s="13" t="s">
        <v>3</v>
      </c>
      <c r="AC340" s="13" t="s">
        <v>3</v>
      </c>
      <c r="AD340" s="13" t="s">
        <v>1258</v>
      </c>
      <c r="AE340" s="19">
        <v>7456740</v>
      </c>
      <c r="AF340" s="36">
        <v>4474044</v>
      </c>
    </row>
    <row r="341" spans="1:32" x14ac:dyDescent="0.35">
      <c r="A341" s="34">
        <v>90943028294</v>
      </c>
      <c r="B341" s="13" t="s">
        <v>1269</v>
      </c>
      <c r="C341" s="13">
        <v>15285437929</v>
      </c>
      <c r="D341" s="13" t="s">
        <v>49</v>
      </c>
      <c r="E341" s="67" t="s">
        <v>55</v>
      </c>
      <c r="F341" s="13" t="s">
        <v>402</v>
      </c>
      <c r="G341" s="13" t="s">
        <v>463</v>
      </c>
      <c r="H341" s="13" t="s">
        <v>4</v>
      </c>
      <c r="I341" s="15">
        <v>0.6</v>
      </c>
      <c r="J341" s="16">
        <v>45207</v>
      </c>
      <c r="K341" s="17">
        <f t="shared" si="5"/>
        <v>45755</v>
      </c>
      <c r="L341" s="13" t="s">
        <v>465</v>
      </c>
      <c r="M341" s="17">
        <v>45031</v>
      </c>
      <c r="N341" s="17">
        <v>45496</v>
      </c>
      <c r="O341" s="13" t="s">
        <v>468</v>
      </c>
      <c r="P341" s="18" t="s">
        <v>469</v>
      </c>
      <c r="Q341" s="17">
        <v>45407</v>
      </c>
      <c r="R341" s="13"/>
      <c r="S341" s="13" t="s">
        <v>806</v>
      </c>
      <c r="T341" s="13" t="s">
        <v>1203</v>
      </c>
      <c r="U341" s="19">
        <v>7456740</v>
      </c>
      <c r="V341" s="20">
        <v>4474044</v>
      </c>
      <c r="W341" s="20">
        <v>745674</v>
      </c>
      <c r="X341" s="17">
        <v>45517</v>
      </c>
      <c r="Y341" s="13" t="s">
        <v>4</v>
      </c>
      <c r="Z341" s="13" t="s">
        <v>2</v>
      </c>
      <c r="AA341" s="13" t="s">
        <v>2</v>
      </c>
      <c r="AB341" s="13" t="s">
        <v>4</v>
      </c>
      <c r="AC341" s="13" t="s">
        <v>4</v>
      </c>
      <c r="AD341" s="13" t="s">
        <v>1258</v>
      </c>
      <c r="AE341" s="19">
        <v>2724220</v>
      </c>
      <c r="AF341" s="36">
        <v>1634532</v>
      </c>
    </row>
    <row r="342" spans="1:32" x14ac:dyDescent="0.35">
      <c r="A342" s="34">
        <v>77940965555</v>
      </c>
      <c r="B342" s="13" t="s">
        <v>1269</v>
      </c>
      <c r="C342" s="13">
        <v>99071762146</v>
      </c>
      <c r="D342" s="13" t="s">
        <v>44</v>
      </c>
      <c r="E342" s="67" t="s">
        <v>56</v>
      </c>
      <c r="F342" s="13" t="s">
        <v>403</v>
      </c>
      <c r="G342" s="13" t="s">
        <v>462</v>
      </c>
      <c r="H342" s="13" t="s">
        <v>4</v>
      </c>
      <c r="I342" s="15">
        <v>0.6</v>
      </c>
      <c r="J342" s="16">
        <v>45286</v>
      </c>
      <c r="K342" s="17">
        <f t="shared" si="5"/>
        <v>45834</v>
      </c>
      <c r="L342" s="13" t="s">
        <v>465</v>
      </c>
      <c r="M342" s="17">
        <v>44967</v>
      </c>
      <c r="N342" s="17">
        <v>45361</v>
      </c>
      <c r="O342" s="13" t="s">
        <v>470</v>
      </c>
      <c r="P342" s="18" t="s">
        <v>469</v>
      </c>
      <c r="Q342" s="17">
        <v>45478</v>
      </c>
      <c r="R342" s="13"/>
      <c r="S342" s="13" t="s">
        <v>807</v>
      </c>
      <c r="T342" s="13" t="s">
        <v>1204</v>
      </c>
      <c r="U342" s="19">
        <v>2724220</v>
      </c>
      <c r="V342" s="20">
        <v>1634532</v>
      </c>
      <c r="W342" s="20">
        <v>272422</v>
      </c>
      <c r="X342" s="17">
        <v>45466</v>
      </c>
      <c r="Y342" s="13" t="s">
        <v>4</v>
      </c>
      <c r="Z342" s="13" t="s">
        <v>1258</v>
      </c>
      <c r="AA342" s="13" t="s">
        <v>1258</v>
      </c>
      <c r="AB342" s="13" t="s">
        <v>4</v>
      </c>
      <c r="AC342" s="13" t="s">
        <v>4</v>
      </c>
      <c r="AD342" s="13" t="s">
        <v>1259</v>
      </c>
      <c r="AE342" s="19">
        <v>8493261</v>
      </c>
      <c r="AF342" s="36">
        <v>5095956.5999999996</v>
      </c>
    </row>
    <row r="343" spans="1:32" x14ac:dyDescent="0.35">
      <c r="A343" s="34">
        <v>38654464121</v>
      </c>
      <c r="B343" s="13" t="s">
        <v>1269</v>
      </c>
      <c r="C343" s="13">
        <v>72063020882</v>
      </c>
      <c r="D343" s="13" t="s">
        <v>42</v>
      </c>
      <c r="E343" s="67" t="s">
        <v>58</v>
      </c>
      <c r="F343" s="13" t="s">
        <v>404</v>
      </c>
      <c r="G343" s="13" t="s">
        <v>462</v>
      </c>
      <c r="H343" s="13" t="s">
        <v>3</v>
      </c>
      <c r="I343" s="15">
        <v>0.6</v>
      </c>
      <c r="J343" s="16">
        <v>44956</v>
      </c>
      <c r="K343" s="17">
        <f t="shared" si="5"/>
        <v>45503</v>
      </c>
      <c r="L343" s="13" t="s">
        <v>465</v>
      </c>
      <c r="M343" s="17">
        <v>44988</v>
      </c>
      <c r="N343" s="17">
        <v>45094</v>
      </c>
      <c r="O343" s="13" t="s">
        <v>468</v>
      </c>
      <c r="P343" s="18" t="s">
        <v>471</v>
      </c>
      <c r="Q343" s="17">
        <v>45530</v>
      </c>
      <c r="R343" s="13"/>
      <c r="S343" s="13" t="s">
        <v>808</v>
      </c>
      <c r="T343" s="13" t="s">
        <v>1205</v>
      </c>
      <c r="U343" s="19">
        <v>8493261</v>
      </c>
      <c r="V343" s="20">
        <v>5095956.5999999996</v>
      </c>
      <c r="W343" s="20">
        <v>849326.10000000009</v>
      </c>
      <c r="X343" s="17">
        <v>45537</v>
      </c>
      <c r="Y343" s="13" t="s">
        <v>3</v>
      </c>
      <c r="Z343" s="13" t="s">
        <v>1258</v>
      </c>
      <c r="AA343" s="13" t="s">
        <v>1258</v>
      </c>
      <c r="AB343" s="13" t="s">
        <v>4</v>
      </c>
      <c r="AC343" s="13" t="s">
        <v>3</v>
      </c>
      <c r="AD343" s="13" t="s">
        <v>1258</v>
      </c>
      <c r="AE343" s="19">
        <v>5162598</v>
      </c>
      <c r="AF343" s="36">
        <v>3097558.8</v>
      </c>
    </row>
    <row r="344" spans="1:32" x14ac:dyDescent="0.35">
      <c r="A344" s="34">
        <v>79278621806</v>
      </c>
      <c r="B344" s="13" t="s">
        <v>1269</v>
      </c>
      <c r="C344" s="13">
        <v>94996593518</v>
      </c>
      <c r="D344" s="13" t="s">
        <v>45</v>
      </c>
      <c r="E344" s="67" t="s">
        <v>57</v>
      </c>
      <c r="F344" s="13" t="s">
        <v>405</v>
      </c>
      <c r="G344" s="13" t="s">
        <v>463</v>
      </c>
      <c r="H344" s="13" t="s">
        <v>3</v>
      </c>
      <c r="I344" s="15">
        <v>0.6</v>
      </c>
      <c r="J344" s="16">
        <v>45272</v>
      </c>
      <c r="K344" s="17">
        <f t="shared" si="5"/>
        <v>45820</v>
      </c>
      <c r="L344" s="13" t="s">
        <v>464</v>
      </c>
      <c r="M344" s="17"/>
      <c r="N344" s="17"/>
      <c r="O344" s="13"/>
      <c r="P344" s="18"/>
      <c r="Q344" s="17"/>
      <c r="R344" s="13"/>
      <c r="S344" s="13" t="s">
        <v>809</v>
      </c>
      <c r="T344" s="13" t="s">
        <v>1206</v>
      </c>
      <c r="U344" s="19">
        <v>5162598</v>
      </c>
      <c r="V344" s="20">
        <v>3097558.8</v>
      </c>
      <c r="W344" s="20">
        <v>516259.80000000005</v>
      </c>
      <c r="X344" s="17">
        <v>45297</v>
      </c>
      <c r="Y344" s="13" t="s">
        <v>3</v>
      </c>
      <c r="Z344" s="13" t="s">
        <v>2</v>
      </c>
      <c r="AA344" s="13" t="s">
        <v>2</v>
      </c>
      <c r="AB344" s="13" t="s">
        <v>4</v>
      </c>
      <c r="AC344" s="13" t="s">
        <v>3</v>
      </c>
      <c r="AD344" s="13" t="s">
        <v>1259</v>
      </c>
      <c r="AE344" s="19">
        <v>2676021</v>
      </c>
      <c r="AF344" s="36">
        <v>1605612.5999999999</v>
      </c>
    </row>
    <row r="345" spans="1:32" x14ac:dyDescent="0.35">
      <c r="A345" s="34">
        <v>67090122529</v>
      </c>
      <c r="B345" s="13" t="s">
        <v>1269</v>
      </c>
      <c r="C345" s="13">
        <v>74952497693</v>
      </c>
      <c r="D345" s="13" t="s">
        <v>48</v>
      </c>
      <c r="E345" s="67" t="s">
        <v>53</v>
      </c>
      <c r="F345" s="13" t="s">
        <v>406</v>
      </c>
      <c r="G345" s="13" t="s">
        <v>463</v>
      </c>
      <c r="H345" s="13" t="s">
        <v>4</v>
      </c>
      <c r="I345" s="15">
        <v>0.6</v>
      </c>
      <c r="J345" s="16">
        <v>45079</v>
      </c>
      <c r="K345" s="17">
        <f t="shared" si="5"/>
        <v>45628</v>
      </c>
      <c r="L345" s="13" t="s">
        <v>465</v>
      </c>
      <c r="M345" s="17">
        <v>45066</v>
      </c>
      <c r="N345" s="17">
        <v>45126</v>
      </c>
      <c r="O345" s="13" t="s">
        <v>468</v>
      </c>
      <c r="P345" s="18" t="s">
        <v>469</v>
      </c>
      <c r="Q345" s="17">
        <v>45486</v>
      </c>
      <c r="R345" s="13"/>
      <c r="S345" s="13" t="s">
        <v>810</v>
      </c>
      <c r="T345" s="13" t="s">
        <v>1207</v>
      </c>
      <c r="U345" s="19">
        <v>2676021</v>
      </c>
      <c r="V345" s="20">
        <v>1605612.5999999999</v>
      </c>
      <c r="W345" s="20">
        <v>267602.10000000003</v>
      </c>
      <c r="X345" s="17">
        <v>45596</v>
      </c>
      <c r="Y345" s="13" t="s">
        <v>4</v>
      </c>
      <c r="Z345" s="13" t="s">
        <v>2</v>
      </c>
      <c r="AA345" s="13" t="s">
        <v>2</v>
      </c>
      <c r="AB345" s="13" t="s">
        <v>3</v>
      </c>
      <c r="AC345" s="13" t="s">
        <v>4</v>
      </c>
      <c r="AD345" s="13" t="s">
        <v>1258</v>
      </c>
      <c r="AE345" s="19">
        <v>2962764</v>
      </c>
      <c r="AF345" s="36">
        <v>1777658.4</v>
      </c>
    </row>
    <row r="346" spans="1:32" x14ac:dyDescent="0.35">
      <c r="A346" s="34">
        <v>40476459582</v>
      </c>
      <c r="B346" s="13" t="s">
        <v>1269</v>
      </c>
      <c r="C346" s="13">
        <v>59928160579</v>
      </c>
      <c r="D346" s="13" t="s">
        <v>48</v>
      </c>
      <c r="E346" s="67" t="s">
        <v>56</v>
      </c>
      <c r="F346" s="13" t="s">
        <v>407</v>
      </c>
      <c r="G346" s="13" t="s">
        <v>462</v>
      </c>
      <c r="H346" s="13" t="s">
        <v>3</v>
      </c>
      <c r="I346" s="15">
        <v>0.6</v>
      </c>
      <c r="J346" s="16">
        <v>45158</v>
      </c>
      <c r="K346" s="17">
        <f t="shared" si="5"/>
        <v>45708</v>
      </c>
      <c r="L346" s="13" t="s">
        <v>464</v>
      </c>
      <c r="M346" s="17"/>
      <c r="N346" s="17"/>
      <c r="O346" s="13"/>
      <c r="P346" s="18"/>
      <c r="Q346" s="17"/>
      <c r="R346" s="13"/>
      <c r="S346" s="13" t="s">
        <v>811</v>
      </c>
      <c r="T346" s="13" t="s">
        <v>1208</v>
      </c>
      <c r="U346" s="19">
        <v>2962764</v>
      </c>
      <c r="V346" s="20">
        <v>1777658.4</v>
      </c>
      <c r="W346" s="20">
        <v>296276.40000000002</v>
      </c>
      <c r="X346" s="17">
        <v>45553</v>
      </c>
      <c r="Y346" s="13" t="s">
        <v>3</v>
      </c>
      <c r="Z346" s="13" t="s">
        <v>1258</v>
      </c>
      <c r="AA346" s="13" t="s">
        <v>1258</v>
      </c>
      <c r="AB346" s="13" t="s">
        <v>3</v>
      </c>
      <c r="AC346" s="13" t="s">
        <v>3</v>
      </c>
      <c r="AD346" s="13" t="s">
        <v>1259</v>
      </c>
      <c r="AE346" s="19">
        <v>8904458</v>
      </c>
      <c r="AF346" s="36">
        <v>5342674.8</v>
      </c>
    </row>
    <row r="347" spans="1:32" x14ac:dyDescent="0.35">
      <c r="A347" s="34">
        <v>40995487781</v>
      </c>
      <c r="B347" s="13" t="s">
        <v>1269</v>
      </c>
      <c r="C347" s="13">
        <v>10879985557</v>
      </c>
      <c r="D347" s="13" t="s">
        <v>50</v>
      </c>
      <c r="E347" s="67" t="s">
        <v>53</v>
      </c>
      <c r="F347" s="13" t="s">
        <v>408</v>
      </c>
      <c r="G347" s="13" t="s">
        <v>463</v>
      </c>
      <c r="H347" s="13" t="s">
        <v>3</v>
      </c>
      <c r="I347" s="15">
        <v>0.6</v>
      </c>
      <c r="J347" s="16">
        <v>45275</v>
      </c>
      <c r="K347" s="17">
        <f t="shared" si="5"/>
        <v>45823</v>
      </c>
      <c r="L347" s="13" t="s">
        <v>464</v>
      </c>
      <c r="M347" s="17"/>
      <c r="N347" s="17"/>
      <c r="O347" s="13"/>
      <c r="P347" s="18"/>
      <c r="Q347" s="17"/>
      <c r="R347" s="13"/>
      <c r="S347" s="13" t="s">
        <v>812</v>
      </c>
      <c r="T347" s="13" t="s">
        <v>1209</v>
      </c>
      <c r="U347" s="19">
        <v>8904458</v>
      </c>
      <c r="V347" s="20">
        <v>5342674.8</v>
      </c>
      <c r="W347" s="20">
        <v>890445.8</v>
      </c>
      <c r="X347" s="17">
        <v>45591</v>
      </c>
      <c r="Y347" s="13" t="s">
        <v>3</v>
      </c>
      <c r="Z347" s="13" t="s">
        <v>2</v>
      </c>
      <c r="AA347" s="13" t="s">
        <v>2</v>
      </c>
      <c r="AB347" s="13" t="s">
        <v>3</v>
      </c>
      <c r="AC347" s="13" t="s">
        <v>3</v>
      </c>
      <c r="AD347" s="13" t="s">
        <v>1258</v>
      </c>
      <c r="AE347" s="19">
        <v>7510607</v>
      </c>
      <c r="AF347" s="36">
        <v>4506364.2</v>
      </c>
    </row>
    <row r="348" spans="1:32" x14ac:dyDescent="0.35">
      <c r="A348" s="34">
        <v>95642209358</v>
      </c>
      <c r="B348" s="13" t="s">
        <v>1269</v>
      </c>
      <c r="C348" s="13">
        <v>31026003078</v>
      </c>
      <c r="D348" s="13" t="s">
        <v>43</v>
      </c>
      <c r="E348" s="67" t="s">
        <v>56</v>
      </c>
      <c r="F348" s="13" t="s">
        <v>409</v>
      </c>
      <c r="G348" s="13" t="s">
        <v>462</v>
      </c>
      <c r="H348" s="13" t="s">
        <v>3</v>
      </c>
      <c r="I348" s="15">
        <v>0.6</v>
      </c>
      <c r="J348" s="16">
        <v>44978</v>
      </c>
      <c r="K348" s="17">
        <f t="shared" si="5"/>
        <v>45525</v>
      </c>
      <c r="L348" s="13" t="s">
        <v>465</v>
      </c>
      <c r="M348" s="17">
        <v>44953</v>
      </c>
      <c r="N348" s="17">
        <v>45332</v>
      </c>
      <c r="O348" s="13" t="s">
        <v>468</v>
      </c>
      <c r="P348" s="18" t="s">
        <v>469</v>
      </c>
      <c r="Q348" s="17">
        <v>45475</v>
      </c>
      <c r="R348" s="13"/>
      <c r="S348" s="13" t="s">
        <v>813</v>
      </c>
      <c r="T348" s="13" t="s">
        <v>1210</v>
      </c>
      <c r="U348" s="19">
        <v>7510607</v>
      </c>
      <c r="V348" s="20">
        <v>4506364.2</v>
      </c>
      <c r="W348" s="20">
        <v>751060.70000000007</v>
      </c>
      <c r="X348" s="17">
        <v>45527</v>
      </c>
      <c r="Y348" s="13" t="s">
        <v>3</v>
      </c>
      <c r="Z348" s="13" t="s">
        <v>2</v>
      </c>
      <c r="AA348" s="13" t="s">
        <v>2</v>
      </c>
      <c r="AB348" s="13" t="s">
        <v>3</v>
      </c>
      <c r="AC348" s="13" t="s">
        <v>3</v>
      </c>
      <c r="AD348" s="13" t="s">
        <v>1258</v>
      </c>
      <c r="AE348" s="19">
        <v>5329399</v>
      </c>
      <c r="AF348" s="36">
        <v>3197639.4</v>
      </c>
    </row>
    <row r="349" spans="1:32" x14ac:dyDescent="0.35">
      <c r="A349" s="34">
        <v>18480855915</v>
      </c>
      <c r="B349" s="13" t="s">
        <v>1269</v>
      </c>
      <c r="C349" s="13">
        <v>59391693529</v>
      </c>
      <c r="D349" s="13" t="s">
        <v>42</v>
      </c>
      <c r="E349" s="67" t="s">
        <v>53</v>
      </c>
      <c r="F349" s="13" t="s">
        <v>410</v>
      </c>
      <c r="G349" s="13" t="s">
        <v>463</v>
      </c>
      <c r="H349" s="13" t="s">
        <v>4</v>
      </c>
      <c r="I349" s="15">
        <v>0.6</v>
      </c>
      <c r="J349" s="16">
        <v>45151</v>
      </c>
      <c r="K349" s="17">
        <f t="shared" si="5"/>
        <v>45701</v>
      </c>
      <c r="L349" s="13" t="s">
        <v>465</v>
      </c>
      <c r="M349" s="17">
        <v>45240</v>
      </c>
      <c r="N349" s="17">
        <v>45496</v>
      </c>
      <c r="O349" s="13" t="s">
        <v>468</v>
      </c>
      <c r="P349" s="18" t="s">
        <v>469</v>
      </c>
      <c r="Q349" s="17">
        <v>45346</v>
      </c>
      <c r="R349" s="13"/>
      <c r="S349" s="13" t="s">
        <v>814</v>
      </c>
      <c r="T349" s="13" t="s">
        <v>1211</v>
      </c>
      <c r="U349" s="19">
        <v>5329399</v>
      </c>
      <c r="V349" s="20">
        <v>3197639.4</v>
      </c>
      <c r="W349" s="20">
        <v>532939.9</v>
      </c>
      <c r="X349" s="17">
        <v>45619</v>
      </c>
      <c r="Y349" s="13" t="s">
        <v>4</v>
      </c>
      <c r="Z349" s="13" t="s">
        <v>1258</v>
      </c>
      <c r="AA349" s="13" t="s">
        <v>1258</v>
      </c>
      <c r="AB349" s="13" t="s">
        <v>3</v>
      </c>
      <c r="AC349" s="13" t="s">
        <v>4</v>
      </c>
      <c r="AD349" s="13" t="s">
        <v>1259</v>
      </c>
      <c r="AE349" s="19">
        <v>8380440</v>
      </c>
      <c r="AF349" s="36">
        <v>5028264</v>
      </c>
    </row>
    <row r="350" spans="1:32" x14ac:dyDescent="0.35">
      <c r="A350" s="34">
        <v>64006793221</v>
      </c>
      <c r="B350" s="13" t="s">
        <v>1269</v>
      </c>
      <c r="C350" s="13">
        <v>13829615860</v>
      </c>
      <c r="D350" s="13" t="s">
        <v>49</v>
      </c>
      <c r="E350" s="67" t="s">
        <v>57</v>
      </c>
      <c r="F350" s="13" t="s">
        <v>411</v>
      </c>
      <c r="G350" s="13" t="s">
        <v>463</v>
      </c>
      <c r="H350" s="13" t="s">
        <v>4</v>
      </c>
      <c r="I350" s="15">
        <v>0.6</v>
      </c>
      <c r="J350" s="16">
        <v>45136</v>
      </c>
      <c r="K350" s="17">
        <f t="shared" si="5"/>
        <v>45686</v>
      </c>
      <c r="L350" s="13" t="s">
        <v>464</v>
      </c>
      <c r="M350" s="17"/>
      <c r="N350" s="17"/>
      <c r="O350" s="13"/>
      <c r="P350" s="18"/>
      <c r="Q350" s="17"/>
      <c r="R350" s="13"/>
      <c r="S350" s="13" t="s">
        <v>815</v>
      </c>
      <c r="T350" s="13" t="s">
        <v>1212</v>
      </c>
      <c r="U350" s="19">
        <v>8380440</v>
      </c>
      <c r="V350" s="20">
        <v>5028264</v>
      </c>
      <c r="W350" s="20">
        <v>838044</v>
      </c>
      <c r="X350" s="17">
        <v>45575</v>
      </c>
      <c r="Y350" s="13" t="s">
        <v>4</v>
      </c>
      <c r="Z350" s="13" t="s">
        <v>1258</v>
      </c>
      <c r="AA350" s="13" t="s">
        <v>1258</v>
      </c>
      <c r="AB350" s="13" t="s">
        <v>3</v>
      </c>
      <c r="AC350" s="13" t="s">
        <v>4</v>
      </c>
      <c r="AD350" s="13" t="s">
        <v>1258</v>
      </c>
      <c r="AE350" s="19">
        <v>7334181</v>
      </c>
      <c r="AF350" s="36">
        <v>4400508.5999999996</v>
      </c>
    </row>
    <row r="351" spans="1:32" x14ac:dyDescent="0.35">
      <c r="A351" s="34">
        <v>74164683092</v>
      </c>
      <c r="B351" s="13" t="s">
        <v>1269</v>
      </c>
      <c r="C351" s="13">
        <v>65162088952</v>
      </c>
      <c r="D351" s="13" t="s">
        <v>48</v>
      </c>
      <c r="E351" s="67" t="s">
        <v>58</v>
      </c>
      <c r="F351" s="13" t="s">
        <v>412</v>
      </c>
      <c r="G351" s="13" t="s">
        <v>462</v>
      </c>
      <c r="H351" s="13" t="s">
        <v>4</v>
      </c>
      <c r="I351" s="15">
        <v>0.6</v>
      </c>
      <c r="J351" s="16">
        <v>45096</v>
      </c>
      <c r="K351" s="17">
        <f t="shared" si="5"/>
        <v>45645</v>
      </c>
      <c r="L351" s="13" t="s">
        <v>465</v>
      </c>
      <c r="M351" s="17">
        <v>45036</v>
      </c>
      <c r="N351" s="17">
        <v>45338</v>
      </c>
      <c r="O351" s="13" t="s">
        <v>468</v>
      </c>
      <c r="P351" s="18" t="s">
        <v>471</v>
      </c>
      <c r="Q351" s="17">
        <v>45577</v>
      </c>
      <c r="R351" s="13"/>
      <c r="S351" s="13" t="s">
        <v>816</v>
      </c>
      <c r="T351" s="13" t="s">
        <v>1213</v>
      </c>
      <c r="U351" s="19">
        <v>7334181</v>
      </c>
      <c r="V351" s="20">
        <v>4400508.5999999996</v>
      </c>
      <c r="W351" s="20">
        <v>733418.10000000009</v>
      </c>
      <c r="X351" s="17">
        <v>45398</v>
      </c>
      <c r="Y351" s="13" t="s">
        <v>4</v>
      </c>
      <c r="Z351" s="13" t="s">
        <v>1258</v>
      </c>
      <c r="AA351" s="13" t="s">
        <v>1258</v>
      </c>
      <c r="AB351" s="13" t="s">
        <v>4</v>
      </c>
      <c r="AC351" s="13" t="s">
        <v>4</v>
      </c>
      <c r="AD351" s="13" t="s">
        <v>1258</v>
      </c>
      <c r="AE351" s="19">
        <v>4914742</v>
      </c>
      <c r="AF351" s="36">
        <v>2948845.1999999997</v>
      </c>
    </row>
    <row r="352" spans="1:32" x14ac:dyDescent="0.35">
      <c r="A352" s="34">
        <v>63485326458</v>
      </c>
      <c r="B352" s="13" t="s">
        <v>1269</v>
      </c>
      <c r="C352" s="13">
        <v>55763836096</v>
      </c>
      <c r="D352" s="13" t="s">
        <v>48</v>
      </c>
      <c r="E352" s="67" t="s">
        <v>55</v>
      </c>
      <c r="F352" s="13" t="s">
        <v>413</v>
      </c>
      <c r="G352" s="13" t="s">
        <v>463</v>
      </c>
      <c r="H352" s="13" t="s">
        <v>3</v>
      </c>
      <c r="I352" s="15">
        <v>0.6</v>
      </c>
      <c r="J352" s="16">
        <v>45126</v>
      </c>
      <c r="K352" s="17">
        <f t="shared" si="5"/>
        <v>45676</v>
      </c>
      <c r="L352" s="13" t="s">
        <v>465</v>
      </c>
      <c r="M352" s="17">
        <v>45050</v>
      </c>
      <c r="N352" s="17">
        <v>45127</v>
      </c>
      <c r="O352" s="13" t="s">
        <v>468</v>
      </c>
      <c r="P352" s="18" t="s">
        <v>471</v>
      </c>
      <c r="Q352" s="17">
        <v>45299</v>
      </c>
      <c r="R352" s="13"/>
      <c r="S352" s="13" t="s">
        <v>817</v>
      </c>
      <c r="T352" s="13" t="s">
        <v>1214</v>
      </c>
      <c r="U352" s="19">
        <v>4914742</v>
      </c>
      <c r="V352" s="20">
        <v>2948845.1999999997</v>
      </c>
      <c r="W352" s="20">
        <v>491474.2</v>
      </c>
      <c r="X352" s="17">
        <v>45477</v>
      </c>
      <c r="Y352" s="13" t="s">
        <v>3</v>
      </c>
      <c r="Z352" s="13" t="s">
        <v>2</v>
      </c>
      <c r="AA352" s="13" t="s">
        <v>2</v>
      </c>
      <c r="AB352" s="13" t="s">
        <v>4</v>
      </c>
      <c r="AC352" s="13" t="s">
        <v>3</v>
      </c>
      <c r="AD352" s="13" t="s">
        <v>1258</v>
      </c>
      <c r="AE352" s="19">
        <v>6328248</v>
      </c>
      <c r="AF352" s="36">
        <v>3796948.8</v>
      </c>
    </row>
    <row r="353" spans="1:32" x14ac:dyDescent="0.35">
      <c r="A353" s="34">
        <v>98721006139</v>
      </c>
      <c r="B353" s="13" t="s">
        <v>1269</v>
      </c>
      <c r="C353" s="13">
        <v>70800581676</v>
      </c>
      <c r="D353" s="13" t="s">
        <v>47</v>
      </c>
      <c r="E353" s="67" t="s">
        <v>57</v>
      </c>
      <c r="F353" s="13" t="s">
        <v>414</v>
      </c>
      <c r="G353" s="13" t="s">
        <v>462</v>
      </c>
      <c r="H353" s="13" t="s">
        <v>4</v>
      </c>
      <c r="I353" s="15">
        <v>0.6</v>
      </c>
      <c r="J353" s="16">
        <v>45116</v>
      </c>
      <c r="K353" s="17">
        <f t="shared" si="5"/>
        <v>45666</v>
      </c>
      <c r="L353" s="13" t="s">
        <v>464</v>
      </c>
      <c r="M353" s="17"/>
      <c r="N353" s="17"/>
      <c r="O353" s="13"/>
      <c r="P353" s="18"/>
      <c r="Q353" s="17"/>
      <c r="R353" s="13"/>
      <c r="S353" s="13" t="s">
        <v>818</v>
      </c>
      <c r="T353" s="13" t="s">
        <v>1215</v>
      </c>
      <c r="U353" s="19">
        <v>6328248</v>
      </c>
      <c r="V353" s="20">
        <v>3796948.8</v>
      </c>
      <c r="W353" s="20">
        <v>632824.80000000005</v>
      </c>
      <c r="X353" s="17">
        <v>45611</v>
      </c>
      <c r="Y353" s="13" t="s">
        <v>4</v>
      </c>
      <c r="Z353" s="13" t="s">
        <v>2</v>
      </c>
      <c r="AA353" s="13" t="s">
        <v>2</v>
      </c>
      <c r="AB353" s="13" t="s">
        <v>4</v>
      </c>
      <c r="AC353" s="13" t="s">
        <v>4</v>
      </c>
      <c r="AD353" s="13" t="s">
        <v>1259</v>
      </c>
      <c r="AE353" s="19">
        <v>8674552</v>
      </c>
      <c r="AF353" s="36">
        <v>5204731.2</v>
      </c>
    </row>
    <row r="354" spans="1:32" x14ac:dyDescent="0.35">
      <c r="A354" s="34">
        <v>76190721740</v>
      </c>
      <c r="B354" s="13" t="s">
        <v>1269</v>
      </c>
      <c r="C354" s="13">
        <v>40705609867</v>
      </c>
      <c r="D354" s="13" t="s">
        <v>44</v>
      </c>
      <c r="E354" s="67" t="s">
        <v>60</v>
      </c>
      <c r="F354" s="13" t="s">
        <v>415</v>
      </c>
      <c r="G354" s="13" t="s">
        <v>463</v>
      </c>
      <c r="H354" s="13" t="s">
        <v>4</v>
      </c>
      <c r="I354" s="15">
        <v>0.7</v>
      </c>
      <c r="J354" s="16">
        <v>45042</v>
      </c>
      <c r="K354" s="17">
        <f t="shared" si="5"/>
        <v>45591</v>
      </c>
      <c r="L354" s="13" t="s">
        <v>465</v>
      </c>
      <c r="M354" s="17">
        <v>45043</v>
      </c>
      <c r="N354" s="17">
        <v>45137</v>
      </c>
      <c r="O354" s="13" t="s">
        <v>470</v>
      </c>
      <c r="P354" s="18" t="s">
        <v>471</v>
      </c>
      <c r="Q354" s="17">
        <v>45510</v>
      </c>
      <c r="R354" s="13"/>
      <c r="S354" s="13" t="s">
        <v>819</v>
      </c>
      <c r="T354" s="13" t="s">
        <v>1216</v>
      </c>
      <c r="U354" s="19">
        <v>8674552</v>
      </c>
      <c r="V354" s="20">
        <v>5204731.2</v>
      </c>
      <c r="W354" s="20">
        <v>867455.20000000007</v>
      </c>
      <c r="X354" s="17">
        <v>45609</v>
      </c>
      <c r="Y354" s="13" t="s">
        <v>4</v>
      </c>
      <c r="Z354" s="13" t="s">
        <v>1258</v>
      </c>
      <c r="AA354" s="13" t="s">
        <v>1258</v>
      </c>
      <c r="AB354" s="13" t="s">
        <v>3</v>
      </c>
      <c r="AC354" s="13" t="s">
        <v>4</v>
      </c>
      <c r="AD354" s="13" t="s">
        <v>1258</v>
      </c>
      <c r="AE354" s="19">
        <v>4213996</v>
      </c>
      <c r="AF354" s="36">
        <v>2528397.6</v>
      </c>
    </row>
    <row r="355" spans="1:32" x14ac:dyDescent="0.35">
      <c r="A355" s="34">
        <v>69138967667</v>
      </c>
      <c r="B355" s="13" t="s">
        <v>1269</v>
      </c>
      <c r="C355" s="13">
        <v>52651544964</v>
      </c>
      <c r="D355" s="13" t="s">
        <v>49</v>
      </c>
      <c r="E355" s="67" t="s">
        <v>53</v>
      </c>
      <c r="F355" s="13" t="s">
        <v>416</v>
      </c>
      <c r="G355" s="13" t="s">
        <v>463</v>
      </c>
      <c r="H355" s="13" t="s">
        <v>3</v>
      </c>
      <c r="I355" s="15">
        <v>0.6</v>
      </c>
      <c r="J355" s="16">
        <v>45089</v>
      </c>
      <c r="K355" s="17">
        <f t="shared" si="5"/>
        <v>45638</v>
      </c>
      <c r="L355" s="13" t="s">
        <v>464</v>
      </c>
      <c r="M355" s="17"/>
      <c r="N355" s="17"/>
      <c r="O355" s="13"/>
      <c r="P355" s="18"/>
      <c r="Q355" s="17"/>
      <c r="R355" s="13"/>
      <c r="S355" s="13" t="s">
        <v>820</v>
      </c>
      <c r="T355" s="13" t="s">
        <v>1217</v>
      </c>
      <c r="U355" s="19">
        <v>4213996</v>
      </c>
      <c r="V355" s="20">
        <v>2528397.6</v>
      </c>
      <c r="W355" s="20">
        <v>421399.60000000003</v>
      </c>
      <c r="X355" s="17">
        <v>45379</v>
      </c>
      <c r="Y355" s="13" t="s">
        <v>3</v>
      </c>
      <c r="Z355" s="13" t="s">
        <v>2</v>
      </c>
      <c r="AA355" s="13" t="s">
        <v>2</v>
      </c>
      <c r="AB355" s="13" t="s">
        <v>4</v>
      </c>
      <c r="AC355" s="13" t="s">
        <v>3</v>
      </c>
      <c r="AD355" s="13" t="s">
        <v>1258</v>
      </c>
      <c r="AE355" s="19">
        <v>8581039</v>
      </c>
      <c r="AF355" s="36">
        <v>5148623.3999999994</v>
      </c>
    </row>
    <row r="356" spans="1:32" x14ac:dyDescent="0.35">
      <c r="A356" s="34">
        <v>92884595986</v>
      </c>
      <c r="B356" s="13" t="s">
        <v>1269</v>
      </c>
      <c r="C356" s="13">
        <v>53301760430</v>
      </c>
      <c r="D356" s="13" t="s">
        <v>48</v>
      </c>
      <c r="E356" s="67" t="s">
        <v>54</v>
      </c>
      <c r="F356" s="13" t="s">
        <v>417</v>
      </c>
      <c r="G356" s="13" t="s">
        <v>462</v>
      </c>
      <c r="H356" s="13" t="s">
        <v>4</v>
      </c>
      <c r="I356" s="15">
        <v>0.6</v>
      </c>
      <c r="J356" s="16">
        <v>45236</v>
      </c>
      <c r="K356" s="17">
        <f t="shared" si="5"/>
        <v>45783</v>
      </c>
      <c r="L356" s="13" t="s">
        <v>464</v>
      </c>
      <c r="M356" s="17"/>
      <c r="N356" s="17"/>
      <c r="O356" s="13"/>
      <c r="P356" s="18"/>
      <c r="Q356" s="17"/>
      <c r="R356" s="13"/>
      <c r="S356" s="13" t="s">
        <v>821</v>
      </c>
      <c r="T356" s="13" t="s">
        <v>1218</v>
      </c>
      <c r="U356" s="19">
        <v>8581039</v>
      </c>
      <c r="V356" s="20">
        <v>5148623.3999999994</v>
      </c>
      <c r="W356" s="20">
        <v>858103.9</v>
      </c>
      <c r="X356" s="17">
        <v>45589</v>
      </c>
      <c r="Y356" s="13" t="s">
        <v>4</v>
      </c>
      <c r="Z356" s="13" t="s">
        <v>2</v>
      </c>
      <c r="AA356" s="13" t="s">
        <v>2</v>
      </c>
      <c r="AB356" s="13" t="s">
        <v>4</v>
      </c>
      <c r="AC356" s="13" t="s">
        <v>4</v>
      </c>
      <c r="AD356" s="13" t="s">
        <v>1258</v>
      </c>
      <c r="AE356" s="19">
        <v>4875109</v>
      </c>
      <c r="AF356" s="36">
        <v>2925065.4</v>
      </c>
    </row>
    <row r="357" spans="1:32" x14ac:dyDescent="0.35">
      <c r="A357" s="34">
        <v>55973736838</v>
      </c>
      <c r="B357" s="13" t="s">
        <v>1269</v>
      </c>
      <c r="C357" s="13">
        <v>76648998526</v>
      </c>
      <c r="D357" s="13" t="s">
        <v>41</v>
      </c>
      <c r="E357" s="67" t="s">
        <v>60</v>
      </c>
      <c r="F357" s="13" t="s">
        <v>418</v>
      </c>
      <c r="G357" s="13" t="s">
        <v>463</v>
      </c>
      <c r="H357" s="13" t="s">
        <v>4</v>
      </c>
      <c r="I357" s="15">
        <v>0.5</v>
      </c>
      <c r="J357" s="16">
        <v>45216</v>
      </c>
      <c r="K357" s="17">
        <f t="shared" si="5"/>
        <v>45764</v>
      </c>
      <c r="L357" s="13" t="s">
        <v>464</v>
      </c>
      <c r="M357" s="17"/>
      <c r="N357" s="17"/>
      <c r="O357" s="13"/>
      <c r="P357" s="18"/>
      <c r="Q357" s="17"/>
      <c r="R357" s="13"/>
      <c r="S357" s="13" t="s">
        <v>822</v>
      </c>
      <c r="T357" s="13" t="s">
        <v>1219</v>
      </c>
      <c r="U357" s="19">
        <v>4875109</v>
      </c>
      <c r="V357" s="20">
        <v>2925065.4</v>
      </c>
      <c r="W357" s="20">
        <v>487510.9</v>
      </c>
      <c r="X357" s="17">
        <v>45325</v>
      </c>
      <c r="Y357" s="13" t="s">
        <v>4</v>
      </c>
      <c r="Z357" s="13" t="s">
        <v>2</v>
      </c>
      <c r="AA357" s="13" t="s">
        <v>2</v>
      </c>
      <c r="AB357" s="13" t="s">
        <v>4</v>
      </c>
      <c r="AC357" s="13" t="s">
        <v>4</v>
      </c>
      <c r="AD357" s="13" t="s">
        <v>1259</v>
      </c>
      <c r="AE357" s="19">
        <v>6353869</v>
      </c>
      <c r="AF357" s="36">
        <v>3812321.4</v>
      </c>
    </row>
    <row r="358" spans="1:32" x14ac:dyDescent="0.35">
      <c r="A358" s="34">
        <v>73112826149</v>
      </c>
      <c r="B358" s="13" t="s">
        <v>1269</v>
      </c>
      <c r="C358" s="13">
        <v>58894823326</v>
      </c>
      <c r="D358" s="13" t="s">
        <v>44</v>
      </c>
      <c r="E358" s="67" t="s">
        <v>57</v>
      </c>
      <c r="F358" s="13" t="s">
        <v>419</v>
      </c>
      <c r="G358" s="13" t="s">
        <v>463</v>
      </c>
      <c r="H358" s="13" t="s">
        <v>4</v>
      </c>
      <c r="I358" s="15">
        <v>0.6</v>
      </c>
      <c r="J358" s="16">
        <v>45001</v>
      </c>
      <c r="K358" s="17">
        <f t="shared" si="5"/>
        <v>45551</v>
      </c>
      <c r="L358" s="13" t="s">
        <v>464</v>
      </c>
      <c r="M358" s="17"/>
      <c r="N358" s="17"/>
      <c r="O358" s="13"/>
      <c r="P358" s="18"/>
      <c r="Q358" s="17"/>
      <c r="R358" s="13"/>
      <c r="S358" s="13" t="s">
        <v>823</v>
      </c>
      <c r="T358" s="13" t="s">
        <v>1220</v>
      </c>
      <c r="U358" s="19">
        <v>6353869</v>
      </c>
      <c r="V358" s="20">
        <v>3812321.4</v>
      </c>
      <c r="W358" s="20">
        <v>635386.9</v>
      </c>
      <c r="X358" s="17">
        <v>45379</v>
      </c>
      <c r="Y358" s="13" t="s">
        <v>4</v>
      </c>
      <c r="Z358" s="13" t="s">
        <v>2</v>
      </c>
      <c r="AA358" s="13" t="s">
        <v>2</v>
      </c>
      <c r="AB358" s="13" t="s">
        <v>4</v>
      </c>
      <c r="AC358" s="13" t="s">
        <v>4</v>
      </c>
      <c r="AD358" s="13" t="s">
        <v>1258</v>
      </c>
      <c r="AE358" s="19">
        <v>1873173</v>
      </c>
      <c r="AF358" s="36">
        <v>1123903.8</v>
      </c>
    </row>
    <row r="359" spans="1:32" x14ac:dyDescent="0.35">
      <c r="A359" s="34">
        <v>30478284997</v>
      </c>
      <c r="B359" s="13" t="s">
        <v>1269</v>
      </c>
      <c r="C359" s="13">
        <v>31498315031</v>
      </c>
      <c r="D359" s="13" t="s">
        <v>43</v>
      </c>
      <c r="E359" s="67" t="s">
        <v>54</v>
      </c>
      <c r="F359" s="13" t="s">
        <v>420</v>
      </c>
      <c r="G359" s="13" t="s">
        <v>463</v>
      </c>
      <c r="H359" s="13" t="s">
        <v>4</v>
      </c>
      <c r="I359" s="15">
        <v>0.6</v>
      </c>
      <c r="J359" s="16">
        <v>44966</v>
      </c>
      <c r="K359" s="17">
        <f t="shared" si="5"/>
        <v>45513</v>
      </c>
      <c r="L359" s="13" t="s">
        <v>464</v>
      </c>
      <c r="M359" s="17"/>
      <c r="N359" s="17"/>
      <c r="O359" s="13"/>
      <c r="P359" s="18"/>
      <c r="Q359" s="17"/>
      <c r="R359" s="13"/>
      <c r="S359" s="13" t="s">
        <v>824</v>
      </c>
      <c r="T359" s="13" t="s">
        <v>1221</v>
      </c>
      <c r="U359" s="19">
        <v>1873173</v>
      </c>
      <c r="V359" s="20">
        <v>1123903.8</v>
      </c>
      <c r="W359" s="20">
        <v>187317.30000000002</v>
      </c>
      <c r="X359" s="17">
        <v>45565</v>
      </c>
      <c r="Y359" s="13" t="s">
        <v>4</v>
      </c>
      <c r="Z359" s="13" t="s">
        <v>1258</v>
      </c>
      <c r="AA359" s="13" t="s">
        <v>1258</v>
      </c>
      <c r="AB359" s="13" t="s">
        <v>3</v>
      </c>
      <c r="AC359" s="13" t="s">
        <v>4</v>
      </c>
      <c r="AD359" s="13" t="s">
        <v>1259</v>
      </c>
      <c r="AE359" s="19">
        <v>9984419</v>
      </c>
      <c r="AF359" s="36">
        <v>5990651.3999999994</v>
      </c>
    </row>
    <row r="360" spans="1:32" x14ac:dyDescent="0.35">
      <c r="A360" s="34">
        <v>58342956612</v>
      </c>
      <c r="B360" s="13" t="s">
        <v>1269</v>
      </c>
      <c r="C360" s="13">
        <v>85262559258</v>
      </c>
      <c r="D360" s="13" t="s">
        <v>44</v>
      </c>
      <c r="E360" s="67" t="s">
        <v>58</v>
      </c>
      <c r="F360" s="13" t="s">
        <v>421</v>
      </c>
      <c r="G360" s="13" t="s">
        <v>462</v>
      </c>
      <c r="H360" s="13" t="s">
        <v>4</v>
      </c>
      <c r="I360" s="15">
        <v>0.6</v>
      </c>
      <c r="J360" s="16">
        <v>45114</v>
      </c>
      <c r="K360" s="17">
        <f t="shared" si="5"/>
        <v>45664</v>
      </c>
      <c r="L360" s="13" t="s">
        <v>465</v>
      </c>
      <c r="M360" s="17">
        <v>44978</v>
      </c>
      <c r="N360" s="17">
        <v>45226</v>
      </c>
      <c r="O360" s="13" t="s">
        <v>470</v>
      </c>
      <c r="P360" s="18" t="s">
        <v>471</v>
      </c>
      <c r="Q360" s="17">
        <v>45302</v>
      </c>
      <c r="R360" s="13"/>
      <c r="S360" s="13" t="s">
        <v>825</v>
      </c>
      <c r="T360" s="13" t="s">
        <v>1222</v>
      </c>
      <c r="U360" s="19">
        <v>9984419</v>
      </c>
      <c r="V360" s="20">
        <v>5990651.3999999994</v>
      </c>
      <c r="W360" s="20">
        <v>998441.9</v>
      </c>
      <c r="X360" s="17">
        <v>45600</v>
      </c>
      <c r="Y360" s="13" t="s">
        <v>4</v>
      </c>
      <c r="Z360" s="13" t="s">
        <v>1258</v>
      </c>
      <c r="AA360" s="13" t="s">
        <v>1258</v>
      </c>
      <c r="AB360" s="13" t="s">
        <v>4</v>
      </c>
      <c r="AC360" s="13" t="s">
        <v>4</v>
      </c>
      <c r="AD360" s="13" t="s">
        <v>1258</v>
      </c>
      <c r="AE360" s="19">
        <v>6213848</v>
      </c>
      <c r="AF360" s="36">
        <v>3728308.8</v>
      </c>
    </row>
    <row r="361" spans="1:32" x14ac:dyDescent="0.35">
      <c r="A361" s="34">
        <v>18065999452</v>
      </c>
      <c r="B361" s="13" t="s">
        <v>1269</v>
      </c>
      <c r="C361" s="13">
        <v>47831056787</v>
      </c>
      <c r="D361" s="13" t="s">
        <v>41</v>
      </c>
      <c r="E361" s="67" t="s">
        <v>54</v>
      </c>
      <c r="F361" s="13" t="s">
        <v>422</v>
      </c>
      <c r="G361" s="13" t="s">
        <v>462</v>
      </c>
      <c r="H361" s="13" t="s">
        <v>3</v>
      </c>
      <c r="I361" s="15">
        <v>0.6</v>
      </c>
      <c r="J361" s="16">
        <v>45033</v>
      </c>
      <c r="K361" s="17">
        <f t="shared" si="5"/>
        <v>45582</v>
      </c>
      <c r="L361" s="13" t="s">
        <v>465</v>
      </c>
      <c r="M361" s="17">
        <v>45227</v>
      </c>
      <c r="N361" s="17">
        <v>45390</v>
      </c>
      <c r="O361" s="13" t="s">
        <v>468</v>
      </c>
      <c r="P361" s="18" t="s">
        <v>471</v>
      </c>
      <c r="Q361" s="17">
        <v>45634</v>
      </c>
      <c r="R361" s="13"/>
      <c r="S361" s="13" t="s">
        <v>826</v>
      </c>
      <c r="T361" s="13" t="s">
        <v>1223</v>
      </c>
      <c r="U361" s="19">
        <v>6213848</v>
      </c>
      <c r="V361" s="20">
        <v>3728308.8</v>
      </c>
      <c r="W361" s="20">
        <v>621384.80000000005</v>
      </c>
      <c r="X361" s="17">
        <v>45384</v>
      </c>
      <c r="Y361" s="13" t="s">
        <v>3</v>
      </c>
      <c r="Z361" s="13" t="s">
        <v>2</v>
      </c>
      <c r="AA361" s="13" t="s">
        <v>2</v>
      </c>
      <c r="AB361" s="13" t="s">
        <v>4</v>
      </c>
      <c r="AC361" s="13" t="s">
        <v>3</v>
      </c>
      <c r="AD361" s="13" t="s">
        <v>1258</v>
      </c>
      <c r="AE361" s="19">
        <v>1153524</v>
      </c>
      <c r="AF361" s="36">
        <v>692114.4</v>
      </c>
    </row>
    <row r="362" spans="1:32" x14ac:dyDescent="0.35">
      <c r="A362" s="34">
        <v>47932527450</v>
      </c>
      <c r="B362" s="13" t="s">
        <v>1269</v>
      </c>
      <c r="C362" s="13">
        <v>79850338288</v>
      </c>
      <c r="D362" s="13" t="s">
        <v>43</v>
      </c>
      <c r="E362" s="67" t="s">
        <v>53</v>
      </c>
      <c r="F362" s="13" t="s">
        <v>423</v>
      </c>
      <c r="G362" s="13" t="s">
        <v>462</v>
      </c>
      <c r="H362" s="13" t="s">
        <v>3</v>
      </c>
      <c r="I362" s="15">
        <v>0.6</v>
      </c>
      <c r="J362" s="16">
        <v>45187</v>
      </c>
      <c r="K362" s="17">
        <f t="shared" si="5"/>
        <v>45734</v>
      </c>
      <c r="L362" s="13" t="s">
        <v>465</v>
      </c>
      <c r="M362" s="17">
        <v>45037</v>
      </c>
      <c r="N362" s="17">
        <v>45385</v>
      </c>
      <c r="O362" s="13" t="s">
        <v>470</v>
      </c>
      <c r="P362" s="18" t="s">
        <v>469</v>
      </c>
      <c r="Q362" s="17">
        <v>45623</v>
      </c>
      <c r="R362" s="13"/>
      <c r="S362" s="13" t="s">
        <v>827</v>
      </c>
      <c r="T362" s="13" t="s">
        <v>1224</v>
      </c>
      <c r="U362" s="19">
        <v>1153524</v>
      </c>
      <c r="V362" s="20">
        <v>692114.4</v>
      </c>
      <c r="W362" s="20">
        <v>115352.40000000001</v>
      </c>
      <c r="X362" s="17">
        <v>45480</v>
      </c>
      <c r="Y362" s="13" t="s">
        <v>3</v>
      </c>
      <c r="Z362" s="13" t="s">
        <v>2</v>
      </c>
      <c r="AA362" s="13" t="s">
        <v>2</v>
      </c>
      <c r="AB362" s="13" t="s">
        <v>4</v>
      </c>
      <c r="AC362" s="13" t="s">
        <v>3</v>
      </c>
      <c r="AD362" s="13" t="s">
        <v>1258</v>
      </c>
      <c r="AE362" s="19">
        <v>7200174</v>
      </c>
      <c r="AF362" s="36">
        <v>4320104.3999999994</v>
      </c>
    </row>
    <row r="363" spans="1:32" x14ac:dyDescent="0.35">
      <c r="A363" s="34">
        <v>29323565764</v>
      </c>
      <c r="B363" s="13" t="s">
        <v>1269</v>
      </c>
      <c r="C363" s="13">
        <v>10935246837</v>
      </c>
      <c r="D363" s="13" t="s">
        <v>50</v>
      </c>
      <c r="E363" s="67" t="s">
        <v>57</v>
      </c>
      <c r="F363" s="13" t="s">
        <v>424</v>
      </c>
      <c r="G363" s="13" t="s">
        <v>462</v>
      </c>
      <c r="H363" s="13" t="s">
        <v>3</v>
      </c>
      <c r="I363" s="15">
        <v>0.5</v>
      </c>
      <c r="J363" s="16">
        <v>45210</v>
      </c>
      <c r="K363" s="17">
        <f t="shared" si="5"/>
        <v>45758</v>
      </c>
      <c r="L363" s="13" t="s">
        <v>465</v>
      </c>
      <c r="M363" s="17">
        <v>45042</v>
      </c>
      <c r="N363" s="17">
        <v>45559</v>
      </c>
      <c r="O363" s="13" t="s">
        <v>468</v>
      </c>
      <c r="P363" s="18" t="s">
        <v>471</v>
      </c>
      <c r="Q363" s="17">
        <v>45479</v>
      </c>
      <c r="R363" s="13"/>
      <c r="S363" s="13" t="s">
        <v>828</v>
      </c>
      <c r="T363" s="13" t="s">
        <v>1225</v>
      </c>
      <c r="U363" s="19">
        <v>7200174</v>
      </c>
      <c r="V363" s="20">
        <v>4320104.3999999994</v>
      </c>
      <c r="W363" s="20">
        <v>720017.4</v>
      </c>
      <c r="X363" s="17">
        <v>45607</v>
      </c>
      <c r="Y363" s="13" t="s">
        <v>3</v>
      </c>
      <c r="Z363" s="13" t="s">
        <v>1258</v>
      </c>
      <c r="AA363" s="13" t="s">
        <v>1258</v>
      </c>
      <c r="AB363" s="13" t="s">
        <v>3</v>
      </c>
      <c r="AC363" s="13" t="s">
        <v>3</v>
      </c>
      <c r="AD363" s="13" t="s">
        <v>1259</v>
      </c>
      <c r="AE363" s="19">
        <v>8804981</v>
      </c>
      <c r="AF363" s="36">
        <v>5282988.5999999996</v>
      </c>
    </row>
    <row r="364" spans="1:32" x14ac:dyDescent="0.35">
      <c r="A364" s="34">
        <v>89175621043</v>
      </c>
      <c r="B364" s="13" t="s">
        <v>1269</v>
      </c>
      <c r="C364" s="13">
        <v>81304087765</v>
      </c>
      <c r="D364" s="13" t="s">
        <v>45</v>
      </c>
      <c r="E364" s="67" t="s">
        <v>58</v>
      </c>
      <c r="F364" s="13" t="s">
        <v>425</v>
      </c>
      <c r="G364" s="13" t="s">
        <v>463</v>
      </c>
      <c r="H364" s="13" t="s">
        <v>4</v>
      </c>
      <c r="I364" s="15">
        <v>0.6</v>
      </c>
      <c r="J364" s="16">
        <v>45263</v>
      </c>
      <c r="K364" s="17">
        <f t="shared" si="5"/>
        <v>45811</v>
      </c>
      <c r="L364" s="13" t="s">
        <v>465</v>
      </c>
      <c r="M364" s="17">
        <v>45222</v>
      </c>
      <c r="N364" s="17">
        <v>45516</v>
      </c>
      <c r="O364" s="13" t="s">
        <v>468</v>
      </c>
      <c r="P364" s="18" t="s">
        <v>469</v>
      </c>
      <c r="Q364" s="17">
        <v>45424</v>
      </c>
      <c r="R364" s="13"/>
      <c r="S364" s="13" t="s">
        <v>829</v>
      </c>
      <c r="T364" s="13" t="s">
        <v>987</v>
      </c>
      <c r="U364" s="19">
        <v>8804981</v>
      </c>
      <c r="V364" s="20">
        <v>5282988.5999999996</v>
      </c>
      <c r="W364" s="20">
        <v>880498.10000000009</v>
      </c>
      <c r="X364" s="17">
        <v>45596</v>
      </c>
      <c r="Y364" s="13" t="s">
        <v>4</v>
      </c>
      <c r="Z364" s="13" t="s">
        <v>1258</v>
      </c>
      <c r="AA364" s="13" t="s">
        <v>1258</v>
      </c>
      <c r="AB364" s="13" t="s">
        <v>3</v>
      </c>
      <c r="AC364" s="13" t="s">
        <v>4</v>
      </c>
      <c r="AD364" s="13" t="s">
        <v>1258</v>
      </c>
      <c r="AE364" s="19">
        <v>5818183</v>
      </c>
      <c r="AF364" s="36">
        <v>3490909.8</v>
      </c>
    </row>
    <row r="365" spans="1:32" x14ac:dyDescent="0.35">
      <c r="A365" s="34">
        <v>51569176993</v>
      </c>
      <c r="B365" s="13" t="s">
        <v>1269</v>
      </c>
      <c r="C365" s="13">
        <v>37862330547</v>
      </c>
      <c r="D365" s="13" t="s">
        <v>41</v>
      </c>
      <c r="E365" s="67" t="s">
        <v>60</v>
      </c>
      <c r="F365" s="13" t="s">
        <v>426</v>
      </c>
      <c r="G365" s="13" t="s">
        <v>463</v>
      </c>
      <c r="H365" s="13" t="s">
        <v>3</v>
      </c>
      <c r="I365" s="15">
        <v>0.6</v>
      </c>
      <c r="J365" s="16">
        <v>45194</v>
      </c>
      <c r="K365" s="17">
        <f t="shared" si="5"/>
        <v>45741</v>
      </c>
      <c r="L365" s="13" t="s">
        <v>464</v>
      </c>
      <c r="M365" s="17"/>
      <c r="N365" s="17"/>
      <c r="O365" s="13"/>
      <c r="P365" s="18"/>
      <c r="Q365" s="17"/>
      <c r="R365" s="13"/>
      <c r="S365" s="13" t="s">
        <v>830</v>
      </c>
      <c r="T365" s="13" t="s">
        <v>1226</v>
      </c>
      <c r="U365" s="19">
        <v>5818183</v>
      </c>
      <c r="V365" s="20">
        <v>3490909.8</v>
      </c>
      <c r="W365" s="20">
        <v>581818.30000000005</v>
      </c>
      <c r="X365" s="17">
        <v>45395</v>
      </c>
      <c r="Y365" s="13" t="s">
        <v>3</v>
      </c>
      <c r="Z365" s="13" t="s">
        <v>1258</v>
      </c>
      <c r="AA365" s="13" t="s">
        <v>1258</v>
      </c>
      <c r="AB365" s="13" t="s">
        <v>4</v>
      </c>
      <c r="AC365" s="13" t="s">
        <v>3</v>
      </c>
      <c r="AD365" s="13" t="s">
        <v>1258</v>
      </c>
      <c r="AE365" s="19">
        <v>9808718</v>
      </c>
      <c r="AF365" s="36">
        <v>5885230.7999999998</v>
      </c>
    </row>
    <row r="366" spans="1:32" x14ac:dyDescent="0.35">
      <c r="A366" s="34">
        <v>28882420702</v>
      </c>
      <c r="B366" s="13" t="s">
        <v>1269</v>
      </c>
      <c r="C366" s="13">
        <v>58845572653</v>
      </c>
      <c r="D366" s="13" t="s">
        <v>48</v>
      </c>
      <c r="E366" s="67" t="s">
        <v>53</v>
      </c>
      <c r="F366" s="13" t="s">
        <v>427</v>
      </c>
      <c r="G366" s="13" t="s">
        <v>463</v>
      </c>
      <c r="H366" s="13" t="s">
        <v>3</v>
      </c>
      <c r="I366" s="15">
        <v>0.6</v>
      </c>
      <c r="J366" s="16">
        <v>45048</v>
      </c>
      <c r="K366" s="17">
        <f t="shared" si="5"/>
        <v>45598</v>
      </c>
      <c r="L366" s="13" t="s">
        <v>464</v>
      </c>
      <c r="M366" s="17"/>
      <c r="N366" s="17"/>
      <c r="O366" s="13"/>
      <c r="P366" s="18"/>
      <c r="Q366" s="17"/>
      <c r="R366" s="13"/>
      <c r="S366" s="13" t="s">
        <v>831</v>
      </c>
      <c r="T366" s="13" t="s">
        <v>1227</v>
      </c>
      <c r="U366" s="19">
        <v>9808718</v>
      </c>
      <c r="V366" s="20">
        <v>5885230.7999999998</v>
      </c>
      <c r="W366" s="20">
        <v>980871.8</v>
      </c>
      <c r="X366" s="17">
        <v>45566</v>
      </c>
      <c r="Y366" s="13" t="s">
        <v>3</v>
      </c>
      <c r="Z366" s="13" t="s">
        <v>1258</v>
      </c>
      <c r="AA366" s="13" t="s">
        <v>1258</v>
      </c>
      <c r="AB366" s="13" t="s">
        <v>3</v>
      </c>
      <c r="AC366" s="13" t="s">
        <v>3</v>
      </c>
      <c r="AD366" s="13" t="s">
        <v>1259</v>
      </c>
      <c r="AE366" s="19">
        <v>1311669</v>
      </c>
      <c r="AF366" s="36">
        <v>787001.4</v>
      </c>
    </row>
    <row r="367" spans="1:32" x14ac:dyDescent="0.35">
      <c r="A367" s="34">
        <v>29272456969</v>
      </c>
      <c r="B367" s="13" t="s">
        <v>1269</v>
      </c>
      <c r="C367" s="13">
        <v>39504007163</v>
      </c>
      <c r="D367" s="13" t="s">
        <v>44</v>
      </c>
      <c r="E367" s="67" t="s">
        <v>54</v>
      </c>
      <c r="F367" s="13" t="s">
        <v>428</v>
      </c>
      <c r="G367" s="13" t="s">
        <v>463</v>
      </c>
      <c r="H367" s="13" t="s">
        <v>3</v>
      </c>
      <c r="I367" s="15">
        <v>0.6</v>
      </c>
      <c r="J367" s="16">
        <v>45104</v>
      </c>
      <c r="K367" s="17">
        <f t="shared" si="5"/>
        <v>45653</v>
      </c>
      <c r="L367" s="13" t="s">
        <v>464</v>
      </c>
      <c r="M367" s="17"/>
      <c r="N367" s="17"/>
      <c r="O367" s="13"/>
      <c r="P367" s="18"/>
      <c r="Q367" s="17"/>
      <c r="R367" s="13"/>
      <c r="S367" s="13" t="s">
        <v>832</v>
      </c>
      <c r="T367" s="13" t="s">
        <v>1228</v>
      </c>
      <c r="U367" s="19">
        <v>1311669</v>
      </c>
      <c r="V367" s="20">
        <v>787001.4</v>
      </c>
      <c r="W367" s="20">
        <v>131166.9</v>
      </c>
      <c r="X367" s="17">
        <v>45576</v>
      </c>
      <c r="Y367" s="13" t="s">
        <v>3</v>
      </c>
      <c r="Z367" s="13" t="s">
        <v>1258</v>
      </c>
      <c r="AA367" s="13" t="s">
        <v>1258</v>
      </c>
      <c r="AB367" s="13" t="s">
        <v>4</v>
      </c>
      <c r="AC367" s="13" t="s">
        <v>3</v>
      </c>
      <c r="AD367" s="13" t="s">
        <v>1259</v>
      </c>
      <c r="AE367" s="19">
        <v>1707586</v>
      </c>
      <c r="AF367" s="36">
        <v>1024551.6</v>
      </c>
    </row>
    <row r="368" spans="1:32" x14ac:dyDescent="0.35">
      <c r="A368" s="34">
        <v>20518406531</v>
      </c>
      <c r="B368" s="13" t="s">
        <v>1269</v>
      </c>
      <c r="C368" s="13">
        <v>39310930224</v>
      </c>
      <c r="D368" s="13" t="s">
        <v>44</v>
      </c>
      <c r="E368" s="67" t="s">
        <v>54</v>
      </c>
      <c r="F368" s="13" t="s">
        <v>429</v>
      </c>
      <c r="G368" s="13" t="s">
        <v>462</v>
      </c>
      <c r="H368" s="13" t="s">
        <v>4</v>
      </c>
      <c r="I368" s="15">
        <v>0.6</v>
      </c>
      <c r="J368" s="16">
        <v>44953</v>
      </c>
      <c r="K368" s="17">
        <f t="shared" si="5"/>
        <v>45500</v>
      </c>
      <c r="L368" s="13" t="s">
        <v>464</v>
      </c>
      <c r="M368" s="17"/>
      <c r="N368" s="17"/>
      <c r="O368" s="13"/>
      <c r="P368" s="18"/>
      <c r="Q368" s="17"/>
      <c r="R368" s="13"/>
      <c r="S368" s="13" t="s">
        <v>833</v>
      </c>
      <c r="T368" s="13" t="s">
        <v>1229</v>
      </c>
      <c r="U368" s="19">
        <v>1707586</v>
      </c>
      <c r="V368" s="20">
        <v>1024551.6</v>
      </c>
      <c r="W368" s="20">
        <v>170758.6</v>
      </c>
      <c r="X368" s="17">
        <v>45441</v>
      </c>
      <c r="Y368" s="13" t="s">
        <v>4</v>
      </c>
      <c r="Z368" s="13" t="s">
        <v>1258</v>
      </c>
      <c r="AA368" s="13" t="s">
        <v>1258</v>
      </c>
      <c r="AB368" s="13" t="s">
        <v>3</v>
      </c>
      <c r="AC368" s="13" t="s">
        <v>4</v>
      </c>
      <c r="AD368" s="13" t="s">
        <v>1259</v>
      </c>
      <c r="AE368" s="19">
        <v>3572122</v>
      </c>
      <c r="AF368" s="36">
        <v>2143273.1999999997</v>
      </c>
    </row>
    <row r="369" spans="1:32" x14ac:dyDescent="0.35">
      <c r="A369" s="34">
        <v>14039607410</v>
      </c>
      <c r="B369" s="13" t="s">
        <v>1269</v>
      </c>
      <c r="C369" s="13">
        <v>42968623152</v>
      </c>
      <c r="D369" s="13" t="s">
        <v>48</v>
      </c>
      <c r="E369" s="67" t="s">
        <v>58</v>
      </c>
      <c r="F369" s="13" t="s">
        <v>430</v>
      </c>
      <c r="G369" s="13" t="s">
        <v>462</v>
      </c>
      <c r="H369" s="13" t="s">
        <v>3</v>
      </c>
      <c r="I369" s="15">
        <v>0.6</v>
      </c>
      <c r="J369" s="16">
        <v>45177</v>
      </c>
      <c r="K369" s="17">
        <f t="shared" si="5"/>
        <v>45724</v>
      </c>
      <c r="L369" s="13" t="s">
        <v>465</v>
      </c>
      <c r="M369" s="17">
        <v>45203</v>
      </c>
      <c r="N369" s="17">
        <v>45524</v>
      </c>
      <c r="O369" s="13" t="s">
        <v>468</v>
      </c>
      <c r="P369" s="18" t="s">
        <v>469</v>
      </c>
      <c r="Q369" s="17">
        <v>45575</v>
      </c>
      <c r="R369" s="13"/>
      <c r="S369" s="13" t="s">
        <v>834</v>
      </c>
      <c r="T369" s="13" t="s">
        <v>1230</v>
      </c>
      <c r="U369" s="19">
        <v>3572122</v>
      </c>
      <c r="V369" s="20">
        <v>2143273.1999999997</v>
      </c>
      <c r="W369" s="20">
        <v>357212.2</v>
      </c>
      <c r="X369" s="17">
        <v>45487</v>
      </c>
      <c r="Y369" s="13" t="s">
        <v>3</v>
      </c>
      <c r="Z369" s="13" t="s">
        <v>2</v>
      </c>
      <c r="AA369" s="13" t="s">
        <v>2</v>
      </c>
      <c r="AB369" s="13" t="s">
        <v>3</v>
      </c>
      <c r="AC369" s="13" t="s">
        <v>3</v>
      </c>
      <c r="AD369" s="13" t="s">
        <v>1258</v>
      </c>
      <c r="AE369" s="19">
        <v>6925454</v>
      </c>
      <c r="AF369" s="36">
        <v>4155272.4</v>
      </c>
    </row>
    <row r="370" spans="1:32" x14ac:dyDescent="0.35">
      <c r="A370" s="34">
        <v>65200746778</v>
      </c>
      <c r="B370" s="13" t="s">
        <v>1269</v>
      </c>
      <c r="C370" s="13">
        <v>51510824192</v>
      </c>
      <c r="D370" s="13" t="s">
        <v>50</v>
      </c>
      <c r="E370" s="67" t="s">
        <v>59</v>
      </c>
      <c r="F370" s="13" t="s">
        <v>431</v>
      </c>
      <c r="G370" s="13" t="s">
        <v>463</v>
      </c>
      <c r="H370" s="13" t="s">
        <v>3</v>
      </c>
      <c r="I370" s="15">
        <v>0.6</v>
      </c>
      <c r="J370" s="16">
        <v>44974</v>
      </c>
      <c r="K370" s="17">
        <f t="shared" si="5"/>
        <v>45521</v>
      </c>
      <c r="L370" s="13" t="s">
        <v>464</v>
      </c>
      <c r="M370" s="17"/>
      <c r="N370" s="17"/>
      <c r="O370" s="13"/>
      <c r="P370" s="18"/>
      <c r="Q370" s="17"/>
      <c r="R370" s="13"/>
      <c r="S370" s="13" t="s">
        <v>835</v>
      </c>
      <c r="T370" s="13" t="s">
        <v>1231</v>
      </c>
      <c r="U370" s="19">
        <v>6925454</v>
      </c>
      <c r="V370" s="20">
        <v>4155272.4</v>
      </c>
      <c r="W370" s="20">
        <v>692545.4</v>
      </c>
      <c r="X370" s="17">
        <v>45538</v>
      </c>
      <c r="Y370" s="13" t="s">
        <v>3</v>
      </c>
      <c r="Z370" s="13" t="s">
        <v>1258</v>
      </c>
      <c r="AA370" s="13" t="s">
        <v>1258</v>
      </c>
      <c r="AB370" s="13" t="s">
        <v>3</v>
      </c>
      <c r="AC370" s="13" t="s">
        <v>3</v>
      </c>
      <c r="AD370" s="13" t="s">
        <v>1258</v>
      </c>
      <c r="AE370" s="19">
        <v>4440408</v>
      </c>
      <c r="AF370" s="36">
        <v>2664244.7999999998</v>
      </c>
    </row>
    <row r="371" spans="1:32" x14ac:dyDescent="0.35">
      <c r="A371" s="34">
        <v>46764531105</v>
      </c>
      <c r="B371" s="13" t="s">
        <v>1269</v>
      </c>
      <c r="C371" s="13">
        <v>22034347995</v>
      </c>
      <c r="D371" s="13" t="s">
        <v>41</v>
      </c>
      <c r="E371" s="67" t="s">
        <v>53</v>
      </c>
      <c r="F371" s="13" t="s">
        <v>432</v>
      </c>
      <c r="G371" s="13" t="s">
        <v>462</v>
      </c>
      <c r="H371" s="13" t="s">
        <v>4</v>
      </c>
      <c r="I371" s="15">
        <v>0.7</v>
      </c>
      <c r="J371" s="16">
        <v>44954</v>
      </c>
      <c r="K371" s="17">
        <f t="shared" si="5"/>
        <v>45501</v>
      </c>
      <c r="L371" s="13" t="s">
        <v>465</v>
      </c>
      <c r="M371" s="17">
        <v>44977</v>
      </c>
      <c r="N371" s="17">
        <v>45296</v>
      </c>
      <c r="O371" s="13" t="s">
        <v>468</v>
      </c>
      <c r="P371" s="18" t="s">
        <v>469</v>
      </c>
      <c r="Q371" s="17">
        <v>45647</v>
      </c>
      <c r="R371" s="13"/>
      <c r="S371" s="13" t="s">
        <v>836</v>
      </c>
      <c r="T371" s="13" t="s">
        <v>1232</v>
      </c>
      <c r="U371" s="19">
        <v>4440408</v>
      </c>
      <c r="V371" s="20">
        <v>2664244.7999999998</v>
      </c>
      <c r="W371" s="20">
        <v>444040.80000000005</v>
      </c>
      <c r="X371" s="17">
        <v>45603</v>
      </c>
      <c r="Y371" s="13" t="s">
        <v>4</v>
      </c>
      <c r="Z371" s="13" t="s">
        <v>1258</v>
      </c>
      <c r="AA371" s="13" t="s">
        <v>1258</v>
      </c>
      <c r="AB371" s="13" t="s">
        <v>3</v>
      </c>
      <c r="AC371" s="13" t="s">
        <v>4</v>
      </c>
      <c r="AD371" s="13" t="s">
        <v>1259</v>
      </c>
      <c r="AE371" s="19">
        <v>4187990</v>
      </c>
      <c r="AF371" s="36">
        <v>2512794</v>
      </c>
    </row>
    <row r="372" spans="1:32" x14ac:dyDescent="0.35">
      <c r="A372" s="34">
        <v>75359106933</v>
      </c>
      <c r="B372" s="13" t="s">
        <v>1269</v>
      </c>
      <c r="C372" s="13">
        <v>10243824033</v>
      </c>
      <c r="D372" s="13" t="s">
        <v>49</v>
      </c>
      <c r="E372" s="67" t="s">
        <v>54</v>
      </c>
      <c r="F372" s="13" t="s">
        <v>433</v>
      </c>
      <c r="G372" s="13" t="s">
        <v>462</v>
      </c>
      <c r="H372" s="13" t="s">
        <v>4</v>
      </c>
      <c r="I372" s="15">
        <v>0.5</v>
      </c>
      <c r="J372" s="16">
        <v>45190</v>
      </c>
      <c r="K372" s="17">
        <f t="shared" si="5"/>
        <v>45737</v>
      </c>
      <c r="L372" s="13" t="s">
        <v>465</v>
      </c>
      <c r="M372" s="17">
        <v>45160</v>
      </c>
      <c r="N372" s="17">
        <v>45464</v>
      </c>
      <c r="O372" s="13" t="s">
        <v>470</v>
      </c>
      <c r="P372" s="18" t="s">
        <v>471</v>
      </c>
      <c r="Q372" s="17">
        <v>45427</v>
      </c>
      <c r="R372" s="13"/>
      <c r="S372" s="13" t="s">
        <v>837</v>
      </c>
      <c r="T372" s="13" t="s">
        <v>1225</v>
      </c>
      <c r="U372" s="19">
        <v>4187990</v>
      </c>
      <c r="V372" s="20">
        <v>2512794</v>
      </c>
      <c r="W372" s="20">
        <v>418799</v>
      </c>
      <c r="X372" s="17">
        <v>45606</v>
      </c>
      <c r="Y372" s="13" t="s">
        <v>4</v>
      </c>
      <c r="Z372" s="13" t="s">
        <v>2</v>
      </c>
      <c r="AA372" s="13" t="s">
        <v>2</v>
      </c>
      <c r="AB372" s="13" t="s">
        <v>4</v>
      </c>
      <c r="AC372" s="13" t="s">
        <v>4</v>
      </c>
      <c r="AD372" s="13" t="s">
        <v>1259</v>
      </c>
      <c r="AE372" s="19">
        <v>3129629</v>
      </c>
      <c r="AF372" s="36">
        <v>1877777.4</v>
      </c>
    </row>
    <row r="373" spans="1:32" x14ac:dyDescent="0.35">
      <c r="A373" s="34">
        <v>88540618457</v>
      </c>
      <c r="B373" s="13" t="s">
        <v>1269</v>
      </c>
      <c r="C373" s="13">
        <v>45356727783</v>
      </c>
      <c r="D373" s="13" t="s">
        <v>45</v>
      </c>
      <c r="E373" s="67" t="s">
        <v>56</v>
      </c>
      <c r="F373" s="13" t="s">
        <v>434</v>
      </c>
      <c r="G373" s="13" t="s">
        <v>463</v>
      </c>
      <c r="H373" s="13" t="s">
        <v>3</v>
      </c>
      <c r="I373" s="15">
        <v>0.6</v>
      </c>
      <c r="J373" s="16">
        <v>45122</v>
      </c>
      <c r="K373" s="17">
        <f t="shared" si="5"/>
        <v>45672</v>
      </c>
      <c r="L373" s="13" t="s">
        <v>465</v>
      </c>
      <c r="M373" s="17">
        <v>44934</v>
      </c>
      <c r="N373" s="17">
        <v>45367</v>
      </c>
      <c r="O373" s="13" t="s">
        <v>468</v>
      </c>
      <c r="P373" s="18" t="s">
        <v>471</v>
      </c>
      <c r="Q373" s="17">
        <v>45587</v>
      </c>
      <c r="R373" s="13"/>
      <c r="S373" s="13" t="s">
        <v>838</v>
      </c>
      <c r="T373" s="13" t="s">
        <v>1233</v>
      </c>
      <c r="U373" s="19">
        <v>3129629</v>
      </c>
      <c r="V373" s="20">
        <v>1877777.4</v>
      </c>
      <c r="W373" s="20">
        <v>312962.90000000002</v>
      </c>
      <c r="X373" s="17">
        <v>45470</v>
      </c>
      <c r="Y373" s="13" t="s">
        <v>3</v>
      </c>
      <c r="Z373" s="13" t="s">
        <v>2</v>
      </c>
      <c r="AA373" s="13" t="s">
        <v>2</v>
      </c>
      <c r="AB373" s="13" t="s">
        <v>4</v>
      </c>
      <c r="AC373" s="13" t="s">
        <v>3</v>
      </c>
      <c r="AD373" s="13" t="s">
        <v>1258</v>
      </c>
      <c r="AE373" s="19">
        <v>8409594</v>
      </c>
      <c r="AF373" s="36">
        <v>5045756.3999999994</v>
      </c>
    </row>
    <row r="374" spans="1:32" x14ac:dyDescent="0.35">
      <c r="A374" s="34">
        <v>20796053108</v>
      </c>
      <c r="B374" s="13" t="s">
        <v>1269</v>
      </c>
      <c r="C374" s="13">
        <v>90562026962</v>
      </c>
      <c r="D374" s="13" t="s">
        <v>49</v>
      </c>
      <c r="E374" s="67" t="s">
        <v>58</v>
      </c>
      <c r="F374" s="13" t="s">
        <v>435</v>
      </c>
      <c r="G374" s="13" t="s">
        <v>462</v>
      </c>
      <c r="H374" s="13" t="s">
        <v>4</v>
      </c>
      <c r="I374" s="15">
        <v>0.6</v>
      </c>
      <c r="J374" s="16">
        <v>45025</v>
      </c>
      <c r="K374" s="17">
        <f t="shared" si="5"/>
        <v>45574</v>
      </c>
      <c r="L374" s="13" t="s">
        <v>465</v>
      </c>
      <c r="M374" s="17">
        <v>45032</v>
      </c>
      <c r="N374" s="17">
        <v>45381</v>
      </c>
      <c r="O374" s="13" t="s">
        <v>470</v>
      </c>
      <c r="P374" s="18" t="s">
        <v>471</v>
      </c>
      <c r="Q374" s="17">
        <v>45365</v>
      </c>
      <c r="R374" s="13"/>
      <c r="S374" s="13" t="s">
        <v>839</v>
      </c>
      <c r="T374" s="13" t="s">
        <v>1234</v>
      </c>
      <c r="U374" s="19">
        <v>8409594</v>
      </c>
      <c r="V374" s="20">
        <v>5045756.3999999994</v>
      </c>
      <c r="W374" s="20">
        <v>840959.4</v>
      </c>
      <c r="X374" s="17">
        <v>45579</v>
      </c>
      <c r="Y374" s="13" t="s">
        <v>4</v>
      </c>
      <c r="Z374" s="13" t="s">
        <v>2</v>
      </c>
      <c r="AA374" s="13" t="s">
        <v>2</v>
      </c>
      <c r="AB374" s="13" t="s">
        <v>4</v>
      </c>
      <c r="AC374" s="13" t="s">
        <v>4</v>
      </c>
      <c r="AD374" s="13" t="s">
        <v>1258</v>
      </c>
      <c r="AE374" s="19">
        <v>1374187</v>
      </c>
      <c r="AF374" s="36">
        <v>824512.2</v>
      </c>
    </row>
    <row r="375" spans="1:32" x14ac:dyDescent="0.35">
      <c r="A375" s="34">
        <v>42357038278</v>
      </c>
      <c r="B375" s="13" t="s">
        <v>1269</v>
      </c>
      <c r="C375" s="13">
        <v>25814338893</v>
      </c>
      <c r="D375" s="13" t="s">
        <v>48</v>
      </c>
      <c r="E375" s="67" t="s">
        <v>51</v>
      </c>
      <c r="F375" s="13" t="s">
        <v>436</v>
      </c>
      <c r="G375" s="13" t="s">
        <v>462</v>
      </c>
      <c r="H375" s="13" t="s">
        <v>3</v>
      </c>
      <c r="I375" s="15">
        <v>0.7</v>
      </c>
      <c r="J375" s="16">
        <v>45195</v>
      </c>
      <c r="K375" s="17">
        <f t="shared" si="5"/>
        <v>45742</v>
      </c>
      <c r="L375" s="13" t="s">
        <v>464</v>
      </c>
      <c r="M375" s="17"/>
      <c r="N375" s="17"/>
      <c r="O375" s="13"/>
      <c r="P375" s="18"/>
      <c r="Q375" s="17"/>
      <c r="R375" s="13"/>
      <c r="S375" s="13" t="s">
        <v>840</v>
      </c>
      <c r="T375" s="13" t="s">
        <v>1235</v>
      </c>
      <c r="U375" s="19">
        <v>1374187</v>
      </c>
      <c r="V375" s="20">
        <v>824512.2</v>
      </c>
      <c r="W375" s="20">
        <v>137418.70000000001</v>
      </c>
      <c r="X375" s="17">
        <v>45326</v>
      </c>
      <c r="Y375" s="13" t="s">
        <v>3</v>
      </c>
      <c r="Z375" s="13" t="s">
        <v>2</v>
      </c>
      <c r="AA375" s="13" t="s">
        <v>2</v>
      </c>
      <c r="AB375" s="13" t="s">
        <v>4</v>
      </c>
      <c r="AC375" s="13" t="s">
        <v>3</v>
      </c>
      <c r="AD375" s="13" t="s">
        <v>1259</v>
      </c>
      <c r="AE375" s="19">
        <v>2698256</v>
      </c>
      <c r="AF375" s="36">
        <v>1618953.5999999999</v>
      </c>
    </row>
    <row r="376" spans="1:32" x14ac:dyDescent="0.35">
      <c r="A376" s="34">
        <v>47375773894</v>
      </c>
      <c r="B376" s="13" t="s">
        <v>1269</v>
      </c>
      <c r="C376" s="13">
        <v>93902884451</v>
      </c>
      <c r="D376" s="13" t="s">
        <v>47</v>
      </c>
      <c r="E376" s="67" t="s">
        <v>51</v>
      </c>
      <c r="F376" s="13" t="s">
        <v>437</v>
      </c>
      <c r="G376" s="13" t="s">
        <v>462</v>
      </c>
      <c r="H376" s="13" t="s">
        <v>3</v>
      </c>
      <c r="I376" s="15">
        <v>0.6</v>
      </c>
      <c r="J376" s="16">
        <v>45119</v>
      </c>
      <c r="K376" s="17">
        <f t="shared" si="5"/>
        <v>45669</v>
      </c>
      <c r="L376" s="13" t="s">
        <v>465</v>
      </c>
      <c r="M376" s="17">
        <v>45239</v>
      </c>
      <c r="N376" s="17">
        <v>45473</v>
      </c>
      <c r="O376" s="13" t="s">
        <v>468</v>
      </c>
      <c r="P376" s="18" t="s">
        <v>471</v>
      </c>
      <c r="Q376" s="17">
        <v>45467</v>
      </c>
      <c r="R376" s="13"/>
      <c r="S376" s="13" t="s">
        <v>841</v>
      </c>
      <c r="T376" s="13" t="s">
        <v>1236</v>
      </c>
      <c r="U376" s="19">
        <v>2698256</v>
      </c>
      <c r="V376" s="20">
        <v>1618953.5999999999</v>
      </c>
      <c r="W376" s="20">
        <v>269825.60000000003</v>
      </c>
      <c r="X376" s="17">
        <v>45367</v>
      </c>
      <c r="Y376" s="13" t="s">
        <v>3</v>
      </c>
      <c r="Z376" s="13" t="s">
        <v>2</v>
      </c>
      <c r="AA376" s="13" t="s">
        <v>2</v>
      </c>
      <c r="AB376" s="13" t="s">
        <v>3</v>
      </c>
      <c r="AC376" s="13" t="s">
        <v>3</v>
      </c>
      <c r="AD376" s="13" t="s">
        <v>1259</v>
      </c>
      <c r="AE376" s="19">
        <v>2678756</v>
      </c>
      <c r="AF376" s="36">
        <v>1607253.5999999999</v>
      </c>
    </row>
    <row r="377" spans="1:32" x14ac:dyDescent="0.35">
      <c r="A377" s="34">
        <v>50798933242</v>
      </c>
      <c r="B377" s="13" t="s">
        <v>1269</v>
      </c>
      <c r="C377" s="13">
        <v>68331755859</v>
      </c>
      <c r="D377" s="13" t="s">
        <v>43</v>
      </c>
      <c r="E377" s="67" t="s">
        <v>58</v>
      </c>
      <c r="F377" s="13" t="s">
        <v>438</v>
      </c>
      <c r="G377" s="13" t="s">
        <v>462</v>
      </c>
      <c r="H377" s="13" t="s">
        <v>4</v>
      </c>
      <c r="I377" s="15">
        <v>0.6</v>
      </c>
      <c r="J377" s="16">
        <v>44927</v>
      </c>
      <c r="K377" s="17">
        <f t="shared" si="5"/>
        <v>45474</v>
      </c>
      <c r="L377" s="13" t="s">
        <v>465</v>
      </c>
      <c r="M377" s="17">
        <v>45098</v>
      </c>
      <c r="N377" s="17">
        <v>45221</v>
      </c>
      <c r="O377" s="13" t="s">
        <v>468</v>
      </c>
      <c r="P377" s="18" t="s">
        <v>471</v>
      </c>
      <c r="Q377" s="17">
        <v>45584</v>
      </c>
      <c r="R377" s="13"/>
      <c r="S377" s="13" t="s">
        <v>842</v>
      </c>
      <c r="T377" s="13" t="s">
        <v>869</v>
      </c>
      <c r="U377" s="19">
        <v>2678756</v>
      </c>
      <c r="V377" s="20">
        <v>1607253.5999999999</v>
      </c>
      <c r="W377" s="20">
        <v>267875.60000000003</v>
      </c>
      <c r="X377" s="17">
        <v>45601</v>
      </c>
      <c r="Y377" s="13" t="s">
        <v>4</v>
      </c>
      <c r="Z377" s="13" t="s">
        <v>2</v>
      </c>
      <c r="AA377" s="13" t="s">
        <v>2</v>
      </c>
      <c r="AB377" s="13" t="s">
        <v>3</v>
      </c>
      <c r="AC377" s="13" t="s">
        <v>4</v>
      </c>
      <c r="AD377" s="13" t="s">
        <v>1258</v>
      </c>
      <c r="AE377" s="19">
        <v>1705110</v>
      </c>
      <c r="AF377" s="36">
        <v>1023066</v>
      </c>
    </row>
    <row r="378" spans="1:32" x14ac:dyDescent="0.35">
      <c r="A378" s="34">
        <v>11477317487</v>
      </c>
      <c r="B378" s="13" t="s">
        <v>1269</v>
      </c>
      <c r="C378" s="13">
        <v>99060973408</v>
      </c>
      <c r="D378" s="13" t="s">
        <v>46</v>
      </c>
      <c r="E378" s="67" t="s">
        <v>54</v>
      </c>
      <c r="F378" s="13" t="s">
        <v>439</v>
      </c>
      <c r="G378" s="13" t="s">
        <v>463</v>
      </c>
      <c r="H378" s="13" t="s">
        <v>4</v>
      </c>
      <c r="I378" s="15">
        <v>0.6</v>
      </c>
      <c r="J378" s="16">
        <v>45282</v>
      </c>
      <c r="K378" s="17">
        <f t="shared" si="5"/>
        <v>45830</v>
      </c>
      <c r="L378" s="13" t="s">
        <v>464</v>
      </c>
      <c r="M378" s="17"/>
      <c r="N378" s="17"/>
      <c r="O378" s="13"/>
      <c r="P378" s="18"/>
      <c r="Q378" s="17"/>
      <c r="R378" s="13"/>
      <c r="S378" s="13" t="s">
        <v>843</v>
      </c>
      <c r="T378" s="13" t="s">
        <v>1237</v>
      </c>
      <c r="U378" s="19">
        <v>1705110</v>
      </c>
      <c r="V378" s="20">
        <v>1023066</v>
      </c>
      <c r="W378" s="20">
        <v>170511</v>
      </c>
      <c r="X378" s="17">
        <v>45530</v>
      </c>
      <c r="Y378" s="13" t="s">
        <v>4</v>
      </c>
      <c r="Z378" s="13" t="s">
        <v>1258</v>
      </c>
      <c r="AA378" s="13" t="s">
        <v>1258</v>
      </c>
      <c r="AB378" s="13" t="s">
        <v>4</v>
      </c>
      <c r="AC378" s="13" t="s">
        <v>4</v>
      </c>
      <c r="AD378" s="13" t="s">
        <v>1258</v>
      </c>
      <c r="AE378" s="19">
        <v>1076436</v>
      </c>
      <c r="AF378" s="36">
        <v>645861.6</v>
      </c>
    </row>
    <row r="379" spans="1:32" x14ac:dyDescent="0.35">
      <c r="A379" s="34">
        <v>88650741524</v>
      </c>
      <c r="B379" s="13" t="s">
        <v>1269</v>
      </c>
      <c r="C379" s="13">
        <v>18100314624</v>
      </c>
      <c r="D379" s="13" t="s">
        <v>45</v>
      </c>
      <c r="E379" s="67" t="s">
        <v>60</v>
      </c>
      <c r="F379" s="13" t="s">
        <v>440</v>
      </c>
      <c r="G379" s="13" t="s">
        <v>463</v>
      </c>
      <c r="H379" s="13" t="s">
        <v>3</v>
      </c>
      <c r="I379" s="15">
        <v>0.6</v>
      </c>
      <c r="J379" s="16">
        <v>45286</v>
      </c>
      <c r="K379" s="17">
        <f t="shared" si="5"/>
        <v>45834</v>
      </c>
      <c r="L379" s="13" t="s">
        <v>464</v>
      </c>
      <c r="M379" s="17"/>
      <c r="N379" s="17"/>
      <c r="O379" s="13"/>
      <c r="P379" s="18"/>
      <c r="Q379" s="17"/>
      <c r="R379" s="13"/>
      <c r="S379" s="13" t="s">
        <v>844</v>
      </c>
      <c r="T379" s="13" t="s">
        <v>1238</v>
      </c>
      <c r="U379" s="19">
        <v>1076436</v>
      </c>
      <c r="V379" s="20">
        <v>645861.6</v>
      </c>
      <c r="W379" s="20">
        <v>107643.6</v>
      </c>
      <c r="X379" s="17">
        <v>45391</v>
      </c>
      <c r="Y379" s="13" t="s">
        <v>3</v>
      </c>
      <c r="Z379" s="13" t="s">
        <v>2</v>
      </c>
      <c r="AA379" s="13" t="s">
        <v>2</v>
      </c>
      <c r="AB379" s="13" t="s">
        <v>3</v>
      </c>
      <c r="AC379" s="13" t="s">
        <v>3</v>
      </c>
      <c r="AD379" s="13" t="s">
        <v>1258</v>
      </c>
      <c r="AE379" s="19">
        <v>9505639</v>
      </c>
      <c r="AF379" s="36">
        <v>5703383.3999999994</v>
      </c>
    </row>
    <row r="380" spans="1:32" x14ac:dyDescent="0.35">
      <c r="A380" s="34">
        <v>98165646298</v>
      </c>
      <c r="B380" s="13" t="s">
        <v>1269</v>
      </c>
      <c r="C380" s="13">
        <v>99002416402</v>
      </c>
      <c r="D380" s="13" t="s">
        <v>49</v>
      </c>
      <c r="E380" s="67" t="s">
        <v>56</v>
      </c>
      <c r="F380" s="13" t="s">
        <v>441</v>
      </c>
      <c r="G380" s="13" t="s">
        <v>462</v>
      </c>
      <c r="H380" s="13" t="s">
        <v>3</v>
      </c>
      <c r="I380" s="15">
        <v>0.5</v>
      </c>
      <c r="J380" s="16">
        <v>45257</v>
      </c>
      <c r="K380" s="17">
        <f t="shared" si="5"/>
        <v>45804</v>
      </c>
      <c r="L380" s="13" t="s">
        <v>465</v>
      </c>
      <c r="M380" s="17">
        <v>44968</v>
      </c>
      <c r="N380" s="17">
        <v>45399</v>
      </c>
      <c r="O380" s="13" t="s">
        <v>470</v>
      </c>
      <c r="P380" s="18" t="s">
        <v>471</v>
      </c>
      <c r="Q380" s="17">
        <v>45313</v>
      </c>
      <c r="R380" s="13"/>
      <c r="S380" s="13" t="s">
        <v>845</v>
      </c>
      <c r="T380" s="13" t="s">
        <v>1239</v>
      </c>
      <c r="U380" s="19">
        <v>9505639</v>
      </c>
      <c r="V380" s="20">
        <v>5703383.3999999994</v>
      </c>
      <c r="W380" s="20">
        <v>950563.9</v>
      </c>
      <c r="X380" s="17">
        <v>45410</v>
      </c>
      <c r="Y380" s="13" t="s">
        <v>3</v>
      </c>
      <c r="Z380" s="13" t="s">
        <v>1258</v>
      </c>
      <c r="AA380" s="13" t="s">
        <v>1258</v>
      </c>
      <c r="AB380" s="13" t="s">
        <v>4</v>
      </c>
      <c r="AC380" s="13" t="s">
        <v>3</v>
      </c>
      <c r="AD380" s="13" t="s">
        <v>1258</v>
      </c>
      <c r="AE380" s="19">
        <v>2615064</v>
      </c>
      <c r="AF380" s="36">
        <v>1569038.4</v>
      </c>
    </row>
    <row r="381" spans="1:32" x14ac:dyDescent="0.35">
      <c r="A381" s="34">
        <v>74258385123</v>
      </c>
      <c r="B381" s="13" t="s">
        <v>1269</v>
      </c>
      <c r="C381" s="13">
        <v>90124216711</v>
      </c>
      <c r="D381" s="13" t="s">
        <v>46</v>
      </c>
      <c r="E381" s="67" t="s">
        <v>53</v>
      </c>
      <c r="F381" s="13" t="s">
        <v>442</v>
      </c>
      <c r="G381" s="13" t="s">
        <v>462</v>
      </c>
      <c r="H381" s="13" t="s">
        <v>4</v>
      </c>
      <c r="I381" s="15">
        <v>0.5</v>
      </c>
      <c r="J381" s="16">
        <v>44966</v>
      </c>
      <c r="K381" s="17">
        <f t="shared" si="5"/>
        <v>45513</v>
      </c>
      <c r="L381" s="13" t="s">
        <v>465</v>
      </c>
      <c r="M381" s="17">
        <v>45014</v>
      </c>
      <c r="N381" s="17">
        <v>45250</v>
      </c>
      <c r="O381" s="13" t="s">
        <v>470</v>
      </c>
      <c r="P381" s="18" t="s">
        <v>471</v>
      </c>
      <c r="Q381" s="17">
        <v>45607</v>
      </c>
      <c r="R381" s="13"/>
      <c r="S381" s="13" t="s">
        <v>846</v>
      </c>
      <c r="T381" s="13" t="s">
        <v>874</v>
      </c>
      <c r="U381" s="19">
        <v>2615064</v>
      </c>
      <c r="V381" s="20">
        <v>1569038.4</v>
      </c>
      <c r="W381" s="20">
        <v>261506.40000000002</v>
      </c>
      <c r="X381" s="17">
        <v>45374</v>
      </c>
      <c r="Y381" s="13" t="s">
        <v>4</v>
      </c>
      <c r="Z381" s="13" t="s">
        <v>2</v>
      </c>
      <c r="AA381" s="13" t="s">
        <v>2</v>
      </c>
      <c r="AB381" s="13" t="s">
        <v>4</v>
      </c>
      <c r="AC381" s="13" t="s">
        <v>4</v>
      </c>
      <c r="AD381" s="13" t="s">
        <v>1259</v>
      </c>
      <c r="AE381" s="19">
        <v>6903521</v>
      </c>
      <c r="AF381" s="36">
        <v>4142112.5999999996</v>
      </c>
    </row>
    <row r="382" spans="1:32" x14ac:dyDescent="0.35">
      <c r="A382" s="34">
        <v>37718025624</v>
      </c>
      <c r="B382" s="13" t="s">
        <v>1269</v>
      </c>
      <c r="C382" s="13">
        <v>20729356152</v>
      </c>
      <c r="D382" s="13" t="s">
        <v>44</v>
      </c>
      <c r="E382" s="67" t="s">
        <v>52</v>
      </c>
      <c r="F382" s="13" t="s">
        <v>443</v>
      </c>
      <c r="G382" s="13" t="s">
        <v>462</v>
      </c>
      <c r="H382" s="13" t="s">
        <v>4</v>
      </c>
      <c r="I382" s="15">
        <v>0.5</v>
      </c>
      <c r="J382" s="16">
        <v>45096</v>
      </c>
      <c r="K382" s="17">
        <f t="shared" si="5"/>
        <v>45645</v>
      </c>
      <c r="L382" s="13" t="s">
        <v>465</v>
      </c>
      <c r="M382" s="17">
        <v>45037</v>
      </c>
      <c r="N382" s="17">
        <v>45246</v>
      </c>
      <c r="O382" s="13" t="s">
        <v>468</v>
      </c>
      <c r="P382" s="18" t="s">
        <v>471</v>
      </c>
      <c r="Q382" s="17">
        <v>45316</v>
      </c>
      <c r="R382" s="13"/>
      <c r="S382" s="13" t="s">
        <v>847</v>
      </c>
      <c r="T382" s="13" t="s">
        <v>1240</v>
      </c>
      <c r="U382" s="19">
        <v>6903521</v>
      </c>
      <c r="V382" s="20">
        <v>4142112.5999999996</v>
      </c>
      <c r="W382" s="20">
        <v>690352.10000000009</v>
      </c>
      <c r="X382" s="17">
        <v>45548</v>
      </c>
      <c r="Y382" s="13" t="s">
        <v>4</v>
      </c>
      <c r="Z382" s="13" t="s">
        <v>1258</v>
      </c>
      <c r="AA382" s="13" t="s">
        <v>1258</v>
      </c>
      <c r="AB382" s="13" t="s">
        <v>4</v>
      </c>
      <c r="AC382" s="13" t="s">
        <v>4</v>
      </c>
      <c r="AD382" s="13" t="s">
        <v>1259</v>
      </c>
      <c r="AE382" s="19">
        <v>2134592</v>
      </c>
      <c r="AF382" s="36">
        <v>1280755.2</v>
      </c>
    </row>
    <row r="383" spans="1:32" x14ac:dyDescent="0.35">
      <c r="A383" s="34">
        <v>85910502054</v>
      </c>
      <c r="B383" s="13" t="s">
        <v>1269</v>
      </c>
      <c r="C383" s="13">
        <v>96533035946</v>
      </c>
      <c r="D383" s="13" t="s">
        <v>44</v>
      </c>
      <c r="E383" s="67" t="s">
        <v>56</v>
      </c>
      <c r="F383" s="13" t="s">
        <v>444</v>
      </c>
      <c r="G383" s="13" t="s">
        <v>462</v>
      </c>
      <c r="H383" s="13" t="s">
        <v>4</v>
      </c>
      <c r="I383" s="15">
        <v>0.6</v>
      </c>
      <c r="J383" s="16">
        <v>45006</v>
      </c>
      <c r="K383" s="17">
        <f t="shared" si="5"/>
        <v>45556</v>
      </c>
      <c r="L383" s="13" t="s">
        <v>465</v>
      </c>
      <c r="M383" s="17">
        <v>45045</v>
      </c>
      <c r="N383" s="17">
        <v>45218</v>
      </c>
      <c r="O383" s="13" t="s">
        <v>470</v>
      </c>
      <c r="P383" s="18" t="s">
        <v>469</v>
      </c>
      <c r="Q383" s="17">
        <v>45388</v>
      </c>
      <c r="R383" s="13"/>
      <c r="S383" s="13" t="s">
        <v>848</v>
      </c>
      <c r="T383" s="13" t="s">
        <v>1241</v>
      </c>
      <c r="U383" s="19">
        <v>2134592</v>
      </c>
      <c r="V383" s="20">
        <v>1280755.2</v>
      </c>
      <c r="W383" s="20">
        <v>213459.20000000001</v>
      </c>
      <c r="X383" s="17">
        <v>45516</v>
      </c>
      <c r="Y383" s="13" t="s">
        <v>4</v>
      </c>
      <c r="Z383" s="13" t="s">
        <v>1258</v>
      </c>
      <c r="AA383" s="13" t="s">
        <v>1258</v>
      </c>
      <c r="AB383" s="13" t="s">
        <v>4</v>
      </c>
      <c r="AC383" s="13" t="s">
        <v>4</v>
      </c>
      <c r="AD383" s="13" t="s">
        <v>1259</v>
      </c>
      <c r="AE383" s="19">
        <v>5801413</v>
      </c>
      <c r="AF383" s="36">
        <v>3480847.8</v>
      </c>
    </row>
    <row r="384" spans="1:32" x14ac:dyDescent="0.35">
      <c r="A384" s="34">
        <v>50667569850</v>
      </c>
      <c r="B384" s="13" t="s">
        <v>1269</v>
      </c>
      <c r="C384" s="13">
        <v>57895781582</v>
      </c>
      <c r="D384" s="13" t="s">
        <v>43</v>
      </c>
      <c r="E384" s="67" t="s">
        <v>58</v>
      </c>
      <c r="F384" s="13" t="s">
        <v>445</v>
      </c>
      <c r="G384" s="13" t="s">
        <v>462</v>
      </c>
      <c r="H384" s="13" t="s">
        <v>4</v>
      </c>
      <c r="I384" s="15">
        <v>0.7</v>
      </c>
      <c r="J384" s="16">
        <v>45088</v>
      </c>
      <c r="K384" s="17">
        <f t="shared" si="5"/>
        <v>45637</v>
      </c>
      <c r="L384" s="13" t="s">
        <v>465</v>
      </c>
      <c r="M384" s="17">
        <v>44957</v>
      </c>
      <c r="N384" s="17">
        <v>45376</v>
      </c>
      <c r="O384" s="13" t="s">
        <v>468</v>
      </c>
      <c r="P384" s="18" t="s">
        <v>469</v>
      </c>
      <c r="Q384" s="17">
        <v>45606</v>
      </c>
      <c r="R384" s="13"/>
      <c r="S384" s="13" t="s">
        <v>849</v>
      </c>
      <c r="T384" s="13" t="s">
        <v>1242</v>
      </c>
      <c r="U384" s="19">
        <v>5801413</v>
      </c>
      <c r="V384" s="20">
        <v>3480847.8</v>
      </c>
      <c r="W384" s="20">
        <v>580141.30000000005</v>
      </c>
      <c r="X384" s="17">
        <v>45454</v>
      </c>
      <c r="Y384" s="13" t="s">
        <v>4</v>
      </c>
      <c r="Z384" s="13" t="s">
        <v>1258</v>
      </c>
      <c r="AA384" s="13" t="s">
        <v>1258</v>
      </c>
      <c r="AB384" s="13" t="s">
        <v>3</v>
      </c>
      <c r="AC384" s="13" t="s">
        <v>4</v>
      </c>
      <c r="AD384" s="13" t="s">
        <v>1259</v>
      </c>
      <c r="AE384" s="19">
        <v>5511043</v>
      </c>
      <c r="AF384" s="36">
        <v>3306625.8</v>
      </c>
    </row>
    <row r="385" spans="1:32" x14ac:dyDescent="0.35">
      <c r="A385" s="34">
        <v>56778893000</v>
      </c>
      <c r="B385" s="13" t="s">
        <v>1269</v>
      </c>
      <c r="C385" s="13">
        <v>69383501094</v>
      </c>
      <c r="D385" s="13" t="s">
        <v>48</v>
      </c>
      <c r="E385" s="67" t="s">
        <v>54</v>
      </c>
      <c r="F385" s="13" t="s">
        <v>446</v>
      </c>
      <c r="G385" s="13" t="s">
        <v>462</v>
      </c>
      <c r="H385" s="13" t="s">
        <v>4</v>
      </c>
      <c r="I385" s="15">
        <v>0.5</v>
      </c>
      <c r="J385" s="16">
        <v>45109</v>
      </c>
      <c r="K385" s="17">
        <f t="shared" si="5"/>
        <v>45659</v>
      </c>
      <c r="L385" s="13" t="s">
        <v>464</v>
      </c>
      <c r="M385" s="17"/>
      <c r="N385" s="17"/>
      <c r="O385" s="13"/>
      <c r="P385" s="18"/>
      <c r="Q385" s="17"/>
      <c r="R385" s="13"/>
      <c r="S385" s="13" t="s">
        <v>850</v>
      </c>
      <c r="T385" s="13" t="s">
        <v>876</v>
      </c>
      <c r="U385" s="19">
        <v>5511043</v>
      </c>
      <c r="V385" s="20">
        <v>3306625.8</v>
      </c>
      <c r="W385" s="20">
        <v>551104.30000000005</v>
      </c>
      <c r="X385" s="17">
        <v>45294</v>
      </c>
      <c r="Y385" s="13" t="s">
        <v>4</v>
      </c>
      <c r="Z385" s="13" t="s">
        <v>2</v>
      </c>
      <c r="AA385" s="13" t="s">
        <v>2</v>
      </c>
      <c r="AB385" s="13" t="s">
        <v>4</v>
      </c>
      <c r="AC385" s="13" t="s">
        <v>4</v>
      </c>
      <c r="AD385" s="13" t="s">
        <v>1258</v>
      </c>
      <c r="AE385" s="19">
        <v>3497936</v>
      </c>
      <c r="AF385" s="36">
        <v>2098761.6</v>
      </c>
    </row>
    <row r="386" spans="1:32" x14ac:dyDescent="0.35">
      <c r="A386" s="34">
        <v>58417588945</v>
      </c>
      <c r="B386" s="13" t="s">
        <v>1269</v>
      </c>
      <c r="C386" s="13">
        <v>34938262818</v>
      </c>
      <c r="D386" s="13" t="s">
        <v>45</v>
      </c>
      <c r="E386" s="67" t="s">
        <v>58</v>
      </c>
      <c r="F386" s="13" t="s">
        <v>447</v>
      </c>
      <c r="G386" s="13" t="s">
        <v>463</v>
      </c>
      <c r="H386" s="13" t="s">
        <v>4</v>
      </c>
      <c r="I386" s="15">
        <v>0.5</v>
      </c>
      <c r="J386" s="16">
        <v>45064</v>
      </c>
      <c r="K386" s="17">
        <f t="shared" si="5"/>
        <v>45614</v>
      </c>
      <c r="L386" s="13" t="s">
        <v>464</v>
      </c>
      <c r="M386" s="17"/>
      <c r="N386" s="17"/>
      <c r="O386" s="13"/>
      <c r="P386" s="18"/>
      <c r="Q386" s="17"/>
      <c r="R386" s="13"/>
      <c r="S386" s="13" t="s">
        <v>851</v>
      </c>
      <c r="T386" s="13" t="s">
        <v>1243</v>
      </c>
      <c r="U386" s="19">
        <v>3497936</v>
      </c>
      <c r="V386" s="20">
        <v>2098761.6</v>
      </c>
      <c r="W386" s="20">
        <v>349793.60000000003</v>
      </c>
      <c r="X386" s="17">
        <v>45649</v>
      </c>
      <c r="Y386" s="13" t="s">
        <v>4</v>
      </c>
      <c r="Z386" s="13" t="s">
        <v>1258</v>
      </c>
      <c r="AA386" s="13" t="s">
        <v>1258</v>
      </c>
      <c r="AB386" s="13" t="s">
        <v>3</v>
      </c>
      <c r="AC386" s="13" t="s">
        <v>4</v>
      </c>
      <c r="AD386" s="13" t="s">
        <v>1258</v>
      </c>
      <c r="AE386" s="19">
        <v>7042697</v>
      </c>
      <c r="AF386" s="36">
        <v>4225618.2</v>
      </c>
    </row>
    <row r="387" spans="1:32" x14ac:dyDescent="0.35">
      <c r="A387" s="34">
        <v>95560547842</v>
      </c>
      <c r="B387" s="13" t="s">
        <v>1269</v>
      </c>
      <c r="C387" s="13">
        <v>12287361685</v>
      </c>
      <c r="D387" s="13" t="s">
        <v>43</v>
      </c>
      <c r="E387" s="67" t="s">
        <v>54</v>
      </c>
      <c r="F387" s="13" t="s">
        <v>448</v>
      </c>
      <c r="G387" s="13" t="s">
        <v>463</v>
      </c>
      <c r="H387" s="13" t="s">
        <v>4</v>
      </c>
      <c r="I387" s="15">
        <v>0.6</v>
      </c>
      <c r="J387" s="16">
        <v>45072</v>
      </c>
      <c r="K387" s="17">
        <f t="shared" si="5"/>
        <v>45622</v>
      </c>
      <c r="L387" s="13" t="s">
        <v>464</v>
      </c>
      <c r="M387" s="17"/>
      <c r="N387" s="17"/>
      <c r="O387" s="13"/>
      <c r="P387" s="18"/>
      <c r="Q387" s="17"/>
      <c r="R387" s="13"/>
      <c r="S387" s="13" t="s">
        <v>852</v>
      </c>
      <c r="T387" s="13" t="s">
        <v>1244</v>
      </c>
      <c r="U387" s="19">
        <v>7042697</v>
      </c>
      <c r="V387" s="20">
        <v>4225618.2</v>
      </c>
      <c r="W387" s="20">
        <v>704269.70000000007</v>
      </c>
      <c r="X387" s="17">
        <v>45528</v>
      </c>
      <c r="Y387" s="13" t="s">
        <v>4</v>
      </c>
      <c r="Z387" s="13" t="s">
        <v>1258</v>
      </c>
      <c r="AA387" s="13" t="s">
        <v>1258</v>
      </c>
      <c r="AB387" s="13" t="s">
        <v>4</v>
      </c>
      <c r="AC387" s="13" t="s">
        <v>4</v>
      </c>
      <c r="AD387" s="13" t="s">
        <v>1259</v>
      </c>
      <c r="AE387" s="19">
        <v>9946527</v>
      </c>
      <c r="AF387" s="36">
        <v>5967916.2000000002</v>
      </c>
    </row>
    <row r="388" spans="1:32" x14ac:dyDescent="0.35">
      <c r="A388" s="34">
        <v>92020056927</v>
      </c>
      <c r="B388" s="13" t="s">
        <v>1269</v>
      </c>
      <c r="C388" s="13">
        <v>27797771216</v>
      </c>
      <c r="D388" s="13" t="s">
        <v>44</v>
      </c>
      <c r="E388" s="67" t="s">
        <v>53</v>
      </c>
      <c r="F388" s="13" t="s">
        <v>449</v>
      </c>
      <c r="G388" s="13" t="s">
        <v>462</v>
      </c>
      <c r="H388" s="13" t="s">
        <v>4</v>
      </c>
      <c r="I388" s="15">
        <v>0.6</v>
      </c>
      <c r="J388" s="16">
        <v>45209</v>
      </c>
      <c r="K388" s="17">
        <f t="shared" ref="K388:K400" si="6">EDATE(J388,18)</f>
        <v>45757</v>
      </c>
      <c r="L388" s="13" t="s">
        <v>465</v>
      </c>
      <c r="M388" s="17">
        <v>45239</v>
      </c>
      <c r="N388" s="17">
        <v>45450</v>
      </c>
      <c r="O388" s="13" t="s">
        <v>470</v>
      </c>
      <c r="P388" s="18" t="s">
        <v>471</v>
      </c>
      <c r="Q388" s="17">
        <v>45607</v>
      </c>
      <c r="R388" s="13"/>
      <c r="S388" s="13" t="s">
        <v>853</v>
      </c>
      <c r="T388" s="13" t="s">
        <v>1245</v>
      </c>
      <c r="U388" s="19">
        <v>9946527</v>
      </c>
      <c r="V388" s="20">
        <v>5967916.2000000002</v>
      </c>
      <c r="W388" s="20">
        <v>994652.70000000007</v>
      </c>
      <c r="X388" s="17">
        <v>45513</v>
      </c>
      <c r="Y388" s="13" t="s">
        <v>4</v>
      </c>
      <c r="Z388" s="13" t="s">
        <v>2</v>
      </c>
      <c r="AA388" s="13" t="s">
        <v>2</v>
      </c>
      <c r="AB388" s="13" t="s">
        <v>4</v>
      </c>
      <c r="AC388" s="13" t="s">
        <v>4</v>
      </c>
      <c r="AD388" s="13" t="s">
        <v>1259</v>
      </c>
      <c r="AE388" s="19">
        <v>5498902</v>
      </c>
      <c r="AF388" s="36">
        <v>3299341.1999999997</v>
      </c>
    </row>
    <row r="389" spans="1:32" x14ac:dyDescent="0.35">
      <c r="A389" s="34">
        <v>61713150700</v>
      </c>
      <c r="B389" s="13" t="s">
        <v>1269</v>
      </c>
      <c r="C389" s="13">
        <v>83658958567</v>
      </c>
      <c r="D389" s="13" t="s">
        <v>44</v>
      </c>
      <c r="E389" s="67" t="s">
        <v>53</v>
      </c>
      <c r="F389" s="13" t="s">
        <v>450</v>
      </c>
      <c r="G389" s="13" t="s">
        <v>462</v>
      </c>
      <c r="H389" s="13" t="s">
        <v>4</v>
      </c>
      <c r="I389" s="15">
        <v>0.6</v>
      </c>
      <c r="J389" s="16">
        <v>45149</v>
      </c>
      <c r="K389" s="17">
        <f t="shared" si="6"/>
        <v>45699</v>
      </c>
      <c r="L389" s="13" t="s">
        <v>464</v>
      </c>
      <c r="M389" s="17"/>
      <c r="N389" s="17"/>
      <c r="O389" s="13"/>
      <c r="P389" s="18"/>
      <c r="Q389" s="17"/>
      <c r="R389" s="13"/>
      <c r="S389" s="13" t="s">
        <v>854</v>
      </c>
      <c r="T389" s="13" t="s">
        <v>1246</v>
      </c>
      <c r="U389" s="19">
        <v>5498902</v>
      </c>
      <c r="V389" s="20">
        <v>3299341.1999999997</v>
      </c>
      <c r="W389" s="20">
        <v>549890.20000000007</v>
      </c>
      <c r="X389" s="17">
        <v>45309</v>
      </c>
      <c r="Y389" s="13" t="s">
        <v>4</v>
      </c>
      <c r="Z389" s="13" t="s">
        <v>2</v>
      </c>
      <c r="AA389" s="13" t="s">
        <v>2</v>
      </c>
      <c r="AB389" s="13" t="s">
        <v>4</v>
      </c>
      <c r="AC389" s="13" t="s">
        <v>4</v>
      </c>
      <c r="AD389" s="13" t="s">
        <v>1258</v>
      </c>
      <c r="AE389" s="19">
        <v>1769485</v>
      </c>
      <c r="AF389" s="36">
        <v>1061691</v>
      </c>
    </row>
    <row r="390" spans="1:32" x14ac:dyDescent="0.35">
      <c r="A390" s="34">
        <v>12167420894</v>
      </c>
      <c r="B390" s="13" t="s">
        <v>1269</v>
      </c>
      <c r="C390" s="13">
        <v>58006604994</v>
      </c>
      <c r="D390" s="13" t="s">
        <v>41</v>
      </c>
      <c r="E390" s="67" t="s">
        <v>54</v>
      </c>
      <c r="F390" s="13" t="s">
        <v>451</v>
      </c>
      <c r="G390" s="13" t="s">
        <v>462</v>
      </c>
      <c r="H390" s="13" t="s">
        <v>3</v>
      </c>
      <c r="I390" s="15">
        <v>0.7</v>
      </c>
      <c r="J390" s="16">
        <v>45039</v>
      </c>
      <c r="K390" s="17">
        <f t="shared" si="6"/>
        <v>45588</v>
      </c>
      <c r="L390" s="13" t="s">
        <v>465</v>
      </c>
      <c r="M390" s="17">
        <v>45193</v>
      </c>
      <c r="N390" s="17">
        <v>45122</v>
      </c>
      <c r="O390" s="13" t="s">
        <v>470</v>
      </c>
      <c r="P390" s="18" t="s">
        <v>471</v>
      </c>
      <c r="Q390" s="17">
        <v>45626</v>
      </c>
      <c r="R390" s="13"/>
      <c r="S390" s="13" t="s">
        <v>855</v>
      </c>
      <c r="T390" s="13" t="s">
        <v>1247</v>
      </c>
      <c r="U390" s="19">
        <v>1769485</v>
      </c>
      <c r="V390" s="20">
        <v>1061691</v>
      </c>
      <c r="W390" s="20">
        <v>176948.5</v>
      </c>
      <c r="X390" s="17">
        <v>45404</v>
      </c>
      <c r="Y390" s="13" t="s">
        <v>3</v>
      </c>
      <c r="Z390" s="13" t="s">
        <v>1258</v>
      </c>
      <c r="AA390" s="13" t="s">
        <v>1258</v>
      </c>
      <c r="AB390" s="13" t="s">
        <v>3</v>
      </c>
      <c r="AC390" s="13" t="s">
        <v>3</v>
      </c>
      <c r="AD390" s="13" t="s">
        <v>1258</v>
      </c>
      <c r="AE390" s="19">
        <v>9537500</v>
      </c>
      <c r="AF390" s="36">
        <v>5722500</v>
      </c>
    </row>
    <row r="391" spans="1:32" x14ac:dyDescent="0.35">
      <c r="A391" s="34">
        <v>93421876714</v>
      </c>
      <c r="B391" s="13" t="s">
        <v>1269</v>
      </c>
      <c r="C391" s="13">
        <v>62149273434</v>
      </c>
      <c r="D391" s="13" t="s">
        <v>45</v>
      </c>
      <c r="E391" s="67" t="s">
        <v>59</v>
      </c>
      <c r="F391" s="13" t="s">
        <v>452</v>
      </c>
      <c r="G391" s="13" t="s">
        <v>462</v>
      </c>
      <c r="H391" s="13" t="s">
        <v>4</v>
      </c>
      <c r="I391" s="15">
        <v>0.5</v>
      </c>
      <c r="J391" s="16">
        <v>45097</v>
      </c>
      <c r="K391" s="17">
        <f t="shared" si="6"/>
        <v>45646</v>
      </c>
      <c r="L391" s="13" t="s">
        <v>464</v>
      </c>
      <c r="M391" s="17"/>
      <c r="N391" s="17"/>
      <c r="O391" s="13"/>
      <c r="P391" s="18"/>
      <c r="Q391" s="17"/>
      <c r="R391" s="13"/>
      <c r="S391" s="13" t="s">
        <v>856</v>
      </c>
      <c r="T391" s="13" t="s">
        <v>1248</v>
      </c>
      <c r="U391" s="19">
        <v>9537500</v>
      </c>
      <c r="V391" s="20">
        <v>5722500</v>
      </c>
      <c r="W391" s="20">
        <v>953750</v>
      </c>
      <c r="X391" s="17">
        <v>45410</v>
      </c>
      <c r="Y391" s="13" t="s">
        <v>4</v>
      </c>
      <c r="Z391" s="13" t="s">
        <v>2</v>
      </c>
      <c r="AA391" s="13" t="s">
        <v>2</v>
      </c>
      <c r="AB391" s="13" t="s">
        <v>4</v>
      </c>
      <c r="AC391" s="13" t="s">
        <v>4</v>
      </c>
      <c r="AD391" s="13" t="s">
        <v>1258</v>
      </c>
      <c r="AE391" s="19">
        <v>2025560</v>
      </c>
      <c r="AF391" s="36">
        <v>1215336</v>
      </c>
    </row>
    <row r="392" spans="1:32" x14ac:dyDescent="0.35">
      <c r="A392" s="34">
        <v>41464775056</v>
      </c>
      <c r="B392" s="13" t="s">
        <v>1269</v>
      </c>
      <c r="C392" s="13">
        <v>34157273446</v>
      </c>
      <c r="D392" s="13" t="s">
        <v>48</v>
      </c>
      <c r="E392" s="67" t="s">
        <v>54</v>
      </c>
      <c r="F392" s="13" t="s">
        <v>453</v>
      </c>
      <c r="G392" s="13" t="s">
        <v>463</v>
      </c>
      <c r="H392" s="13" t="s">
        <v>3</v>
      </c>
      <c r="I392" s="15">
        <v>0.6</v>
      </c>
      <c r="J392" s="16">
        <v>45152</v>
      </c>
      <c r="K392" s="17">
        <f t="shared" si="6"/>
        <v>45702</v>
      </c>
      <c r="L392" s="13" t="s">
        <v>464</v>
      </c>
      <c r="M392" s="17"/>
      <c r="N392" s="17"/>
      <c r="O392" s="13"/>
      <c r="P392" s="18"/>
      <c r="Q392" s="17"/>
      <c r="R392" s="13"/>
      <c r="S392" s="13" t="s">
        <v>857</v>
      </c>
      <c r="T392" s="13" t="s">
        <v>1249</v>
      </c>
      <c r="U392" s="19">
        <v>2025560</v>
      </c>
      <c r="V392" s="20">
        <v>1215336</v>
      </c>
      <c r="W392" s="20">
        <v>202556</v>
      </c>
      <c r="X392" s="17">
        <v>45538</v>
      </c>
      <c r="Y392" s="13" t="s">
        <v>3</v>
      </c>
      <c r="Z392" s="13" t="s">
        <v>2</v>
      </c>
      <c r="AA392" s="13" t="s">
        <v>2</v>
      </c>
      <c r="AB392" s="13" t="s">
        <v>3</v>
      </c>
      <c r="AC392" s="13" t="s">
        <v>3</v>
      </c>
      <c r="AD392" s="13" t="s">
        <v>1259</v>
      </c>
      <c r="AE392" s="19">
        <v>8831912</v>
      </c>
      <c r="AF392" s="36">
        <v>5299147.2</v>
      </c>
    </row>
    <row r="393" spans="1:32" x14ac:dyDescent="0.35">
      <c r="A393" s="34">
        <v>62264282892</v>
      </c>
      <c r="B393" s="13" t="s">
        <v>1269</v>
      </c>
      <c r="C393" s="13">
        <v>71085168478</v>
      </c>
      <c r="D393" s="13" t="s">
        <v>46</v>
      </c>
      <c r="E393" s="67" t="s">
        <v>57</v>
      </c>
      <c r="F393" s="13" t="s">
        <v>454</v>
      </c>
      <c r="G393" s="13" t="s">
        <v>463</v>
      </c>
      <c r="H393" s="13" t="s">
        <v>3</v>
      </c>
      <c r="I393" s="15">
        <v>0.6</v>
      </c>
      <c r="J393" s="16">
        <v>45285</v>
      </c>
      <c r="K393" s="17">
        <f t="shared" si="6"/>
        <v>45833</v>
      </c>
      <c r="L393" s="13" t="s">
        <v>464</v>
      </c>
      <c r="M393" s="17"/>
      <c r="N393" s="17"/>
      <c r="O393" s="13"/>
      <c r="P393" s="18"/>
      <c r="Q393" s="17"/>
      <c r="R393" s="13"/>
      <c r="S393" s="13" t="s">
        <v>858</v>
      </c>
      <c r="T393" s="13" t="s">
        <v>1250</v>
      </c>
      <c r="U393" s="19">
        <v>8831912</v>
      </c>
      <c r="V393" s="20">
        <v>5299147.2</v>
      </c>
      <c r="W393" s="20">
        <v>883191.20000000007</v>
      </c>
      <c r="X393" s="17">
        <v>45452</v>
      </c>
      <c r="Y393" s="13" t="s">
        <v>3</v>
      </c>
      <c r="Z393" s="13" t="s">
        <v>1258</v>
      </c>
      <c r="AA393" s="13" t="s">
        <v>1258</v>
      </c>
      <c r="AB393" s="13" t="s">
        <v>4</v>
      </c>
      <c r="AC393" s="13" t="s">
        <v>3</v>
      </c>
      <c r="AD393" s="13" t="s">
        <v>1259</v>
      </c>
      <c r="AE393" s="19">
        <v>3141522</v>
      </c>
      <c r="AF393" s="36">
        <v>1884913.2</v>
      </c>
    </row>
    <row r="394" spans="1:32" x14ac:dyDescent="0.35">
      <c r="A394" s="34">
        <v>64312844161</v>
      </c>
      <c r="B394" s="13" t="s">
        <v>1269</v>
      </c>
      <c r="C394" s="13">
        <v>18684810209</v>
      </c>
      <c r="D394" s="13" t="s">
        <v>47</v>
      </c>
      <c r="E394" s="67" t="s">
        <v>58</v>
      </c>
      <c r="F394" s="13" t="s">
        <v>455</v>
      </c>
      <c r="G394" s="13" t="s">
        <v>463</v>
      </c>
      <c r="H394" s="13" t="s">
        <v>3</v>
      </c>
      <c r="I394" s="15">
        <v>0.7</v>
      </c>
      <c r="J394" s="16">
        <v>44931</v>
      </c>
      <c r="K394" s="17">
        <f t="shared" si="6"/>
        <v>45478</v>
      </c>
      <c r="L394" s="13" t="s">
        <v>465</v>
      </c>
      <c r="M394" s="17">
        <v>45072</v>
      </c>
      <c r="N394" s="17">
        <v>45219</v>
      </c>
      <c r="O394" s="13" t="s">
        <v>468</v>
      </c>
      <c r="P394" s="18" t="s">
        <v>469</v>
      </c>
      <c r="Q394" s="17">
        <v>45514</v>
      </c>
      <c r="R394" s="13"/>
      <c r="S394" s="13" t="s">
        <v>859</v>
      </c>
      <c r="T394" s="13" t="s">
        <v>1251</v>
      </c>
      <c r="U394" s="19">
        <v>3141522</v>
      </c>
      <c r="V394" s="20">
        <v>1884913.2</v>
      </c>
      <c r="W394" s="20">
        <v>314152.2</v>
      </c>
      <c r="X394" s="17">
        <v>45606</v>
      </c>
      <c r="Y394" s="13" t="s">
        <v>3</v>
      </c>
      <c r="Z394" s="13" t="s">
        <v>2</v>
      </c>
      <c r="AA394" s="13" t="s">
        <v>2</v>
      </c>
      <c r="AB394" s="13" t="s">
        <v>4</v>
      </c>
      <c r="AC394" s="13" t="s">
        <v>3</v>
      </c>
      <c r="AD394" s="13" t="s">
        <v>1259</v>
      </c>
      <c r="AE394" s="19">
        <v>3594055</v>
      </c>
      <c r="AF394" s="36">
        <v>2156433</v>
      </c>
    </row>
    <row r="395" spans="1:32" x14ac:dyDescent="0.35">
      <c r="A395" s="34">
        <v>23189182981</v>
      </c>
      <c r="B395" s="13" t="s">
        <v>1269</v>
      </c>
      <c r="C395" s="13">
        <v>95404978898</v>
      </c>
      <c r="D395" s="13" t="s">
        <v>44</v>
      </c>
      <c r="E395" s="67" t="s">
        <v>53</v>
      </c>
      <c r="F395" s="13" t="s">
        <v>456</v>
      </c>
      <c r="G395" s="13" t="s">
        <v>462</v>
      </c>
      <c r="H395" s="13" t="s">
        <v>4</v>
      </c>
      <c r="I395" s="15">
        <v>0.6</v>
      </c>
      <c r="J395" s="16">
        <v>45072</v>
      </c>
      <c r="K395" s="17">
        <f t="shared" si="6"/>
        <v>45622</v>
      </c>
      <c r="L395" s="13" t="s">
        <v>464</v>
      </c>
      <c r="M395" s="17"/>
      <c r="N395" s="17"/>
      <c r="O395" s="13"/>
      <c r="P395" s="18"/>
      <c r="Q395" s="17"/>
      <c r="R395" s="13"/>
      <c r="S395" s="13" t="s">
        <v>860</v>
      </c>
      <c r="T395" s="13" t="s">
        <v>1252</v>
      </c>
      <c r="U395" s="19">
        <v>3594055</v>
      </c>
      <c r="V395" s="20">
        <v>2156433</v>
      </c>
      <c r="W395" s="20">
        <v>359405.5</v>
      </c>
      <c r="X395" s="17">
        <v>45537</v>
      </c>
      <c r="Y395" s="13" t="s">
        <v>4</v>
      </c>
      <c r="Z395" s="13" t="s">
        <v>2</v>
      </c>
      <c r="AA395" s="13" t="s">
        <v>2</v>
      </c>
      <c r="AB395" s="13" t="s">
        <v>3</v>
      </c>
      <c r="AC395" s="13" t="s">
        <v>4</v>
      </c>
      <c r="AD395" s="13" t="s">
        <v>1259</v>
      </c>
      <c r="AE395" s="19">
        <v>5893149</v>
      </c>
      <c r="AF395" s="36">
        <v>3535889.4</v>
      </c>
    </row>
    <row r="396" spans="1:32" x14ac:dyDescent="0.35">
      <c r="A396" s="34">
        <v>74559919491</v>
      </c>
      <c r="B396" s="13" t="s">
        <v>1269</v>
      </c>
      <c r="C396" s="13">
        <v>36813905508</v>
      </c>
      <c r="D396" s="13" t="s">
        <v>48</v>
      </c>
      <c r="E396" s="67" t="s">
        <v>51</v>
      </c>
      <c r="F396" s="13" t="s">
        <v>457</v>
      </c>
      <c r="G396" s="13" t="s">
        <v>463</v>
      </c>
      <c r="H396" s="13" t="s">
        <v>3</v>
      </c>
      <c r="I396" s="15">
        <v>0.6</v>
      </c>
      <c r="J396" s="16">
        <v>45033</v>
      </c>
      <c r="K396" s="17">
        <f t="shared" si="6"/>
        <v>45582</v>
      </c>
      <c r="L396" s="13" t="s">
        <v>464</v>
      </c>
      <c r="M396" s="17"/>
      <c r="N396" s="17"/>
      <c r="O396" s="13"/>
      <c r="P396" s="18"/>
      <c r="Q396" s="17"/>
      <c r="R396" s="13"/>
      <c r="S396" s="13" t="s">
        <v>861</v>
      </c>
      <c r="T396" s="13" t="s">
        <v>1253</v>
      </c>
      <c r="U396" s="19">
        <v>5893149</v>
      </c>
      <c r="V396" s="20">
        <v>3535889.4</v>
      </c>
      <c r="W396" s="20">
        <v>589314.9</v>
      </c>
      <c r="X396" s="17">
        <v>45642</v>
      </c>
      <c r="Y396" s="13" t="s">
        <v>3</v>
      </c>
      <c r="Z396" s="13" t="s">
        <v>1258</v>
      </c>
      <c r="AA396" s="13" t="s">
        <v>1258</v>
      </c>
      <c r="AB396" s="13" t="s">
        <v>3</v>
      </c>
      <c r="AC396" s="13" t="s">
        <v>3</v>
      </c>
      <c r="AD396" s="13" t="s">
        <v>1259</v>
      </c>
      <c r="AE396" s="19">
        <v>1678250</v>
      </c>
      <c r="AF396" s="36">
        <v>1006950</v>
      </c>
    </row>
    <row r="397" spans="1:32" x14ac:dyDescent="0.35">
      <c r="A397" s="34">
        <v>34292930841</v>
      </c>
      <c r="B397" s="13" t="s">
        <v>1269</v>
      </c>
      <c r="C397" s="13">
        <v>71775980750</v>
      </c>
      <c r="D397" s="13" t="s">
        <v>48</v>
      </c>
      <c r="E397" s="67" t="s">
        <v>53</v>
      </c>
      <c r="F397" s="13" t="s">
        <v>458</v>
      </c>
      <c r="G397" s="13" t="s">
        <v>462</v>
      </c>
      <c r="H397" s="13" t="s">
        <v>3</v>
      </c>
      <c r="I397" s="15">
        <v>0.7</v>
      </c>
      <c r="J397" s="16">
        <v>45098</v>
      </c>
      <c r="K397" s="17">
        <f t="shared" si="6"/>
        <v>45647</v>
      </c>
      <c r="L397" s="13" t="s">
        <v>465</v>
      </c>
      <c r="M397" s="17">
        <v>45085</v>
      </c>
      <c r="N397" s="17">
        <v>45460</v>
      </c>
      <c r="O397" s="13" t="s">
        <v>468</v>
      </c>
      <c r="P397" s="18" t="s">
        <v>471</v>
      </c>
      <c r="Q397" s="17">
        <v>45317</v>
      </c>
      <c r="R397" s="13"/>
      <c r="S397" s="13" t="s">
        <v>862</v>
      </c>
      <c r="T397" s="13" t="s">
        <v>1254</v>
      </c>
      <c r="U397" s="19">
        <v>1678250</v>
      </c>
      <c r="V397" s="20">
        <v>1006950</v>
      </c>
      <c r="W397" s="20">
        <v>167825</v>
      </c>
      <c r="X397" s="17">
        <v>45580</v>
      </c>
      <c r="Y397" s="13" t="s">
        <v>3</v>
      </c>
      <c r="Z397" s="13" t="s">
        <v>1258</v>
      </c>
      <c r="AA397" s="13" t="s">
        <v>1258</v>
      </c>
      <c r="AB397" s="13" t="s">
        <v>3</v>
      </c>
      <c r="AC397" s="13" t="s">
        <v>3</v>
      </c>
      <c r="AD397" s="13" t="s">
        <v>1258</v>
      </c>
      <c r="AE397" s="19">
        <v>7656218</v>
      </c>
      <c r="AF397" s="36">
        <v>4593730.8</v>
      </c>
    </row>
    <row r="398" spans="1:32" x14ac:dyDescent="0.35">
      <c r="A398" s="34">
        <v>41046523204</v>
      </c>
      <c r="B398" s="13" t="s">
        <v>1269</v>
      </c>
      <c r="C398" s="13">
        <v>49280273410</v>
      </c>
      <c r="D398" s="13" t="s">
        <v>47</v>
      </c>
      <c r="E398" s="67" t="s">
        <v>52</v>
      </c>
      <c r="F398" s="13" t="s">
        <v>459</v>
      </c>
      <c r="G398" s="13" t="s">
        <v>463</v>
      </c>
      <c r="H398" s="13" t="s">
        <v>4</v>
      </c>
      <c r="I398" s="15">
        <v>0.6</v>
      </c>
      <c r="J398" s="16">
        <v>44972</v>
      </c>
      <c r="K398" s="17">
        <f t="shared" si="6"/>
        <v>45519</v>
      </c>
      <c r="L398" s="13" t="s">
        <v>465</v>
      </c>
      <c r="M398" s="17">
        <v>44967</v>
      </c>
      <c r="N398" s="17">
        <v>45261</v>
      </c>
      <c r="O398" s="13" t="s">
        <v>468</v>
      </c>
      <c r="P398" s="18" t="s">
        <v>469</v>
      </c>
      <c r="Q398" s="17">
        <v>45652</v>
      </c>
      <c r="R398" s="13"/>
      <c r="S398" s="13" t="s">
        <v>863</v>
      </c>
      <c r="T398" s="13" t="s">
        <v>1255</v>
      </c>
      <c r="U398" s="19">
        <v>7656218</v>
      </c>
      <c r="V398" s="20">
        <v>4593730.8</v>
      </c>
      <c r="W398" s="20">
        <v>765621.8</v>
      </c>
      <c r="X398" s="17">
        <v>45303</v>
      </c>
      <c r="Y398" s="13" t="s">
        <v>4</v>
      </c>
      <c r="Z398" s="13" t="s">
        <v>2</v>
      </c>
      <c r="AA398" s="13" t="s">
        <v>2</v>
      </c>
      <c r="AB398" s="13" t="s">
        <v>4</v>
      </c>
      <c r="AC398" s="13" t="s">
        <v>4</v>
      </c>
      <c r="AD398" s="13" t="s">
        <v>1259</v>
      </c>
      <c r="AE398" s="19">
        <v>5719111</v>
      </c>
      <c r="AF398" s="36">
        <v>3431466.6</v>
      </c>
    </row>
    <row r="399" spans="1:32" x14ac:dyDescent="0.35">
      <c r="A399" s="34">
        <v>48095103177</v>
      </c>
      <c r="B399" s="13" t="s">
        <v>1269</v>
      </c>
      <c r="C399" s="13">
        <v>35147762599</v>
      </c>
      <c r="D399" s="13" t="s">
        <v>49</v>
      </c>
      <c r="E399" s="67" t="s">
        <v>53</v>
      </c>
      <c r="F399" s="13" t="s">
        <v>460</v>
      </c>
      <c r="G399" s="13" t="s">
        <v>462</v>
      </c>
      <c r="H399" s="13" t="s">
        <v>4</v>
      </c>
      <c r="I399" s="15">
        <v>0.5</v>
      </c>
      <c r="J399" s="16">
        <v>45248</v>
      </c>
      <c r="K399" s="17">
        <f t="shared" si="6"/>
        <v>45795</v>
      </c>
      <c r="L399" s="13" t="s">
        <v>465</v>
      </c>
      <c r="M399" s="17">
        <v>45274</v>
      </c>
      <c r="N399" s="17">
        <v>45540</v>
      </c>
      <c r="O399" s="13" t="s">
        <v>468</v>
      </c>
      <c r="P399" s="18" t="s">
        <v>469</v>
      </c>
      <c r="Q399" s="17">
        <v>45504</v>
      </c>
      <c r="R399" s="13"/>
      <c r="S399" s="13" t="s">
        <v>864</v>
      </c>
      <c r="T399" s="13" t="s">
        <v>1256</v>
      </c>
      <c r="U399" s="19">
        <v>5719111</v>
      </c>
      <c r="V399" s="20">
        <v>3431466.6</v>
      </c>
      <c r="W399" s="20">
        <v>571911.1</v>
      </c>
      <c r="X399" s="17">
        <v>45353</v>
      </c>
      <c r="Y399" s="13" t="s">
        <v>4</v>
      </c>
      <c r="Z399" s="13" t="s">
        <v>1258</v>
      </c>
      <c r="AA399" s="13" t="s">
        <v>1258</v>
      </c>
      <c r="AB399" s="13" t="s">
        <v>4</v>
      </c>
      <c r="AC399" s="13" t="s">
        <v>4</v>
      </c>
      <c r="AD399" s="13" t="s">
        <v>1258</v>
      </c>
      <c r="AE399" s="19">
        <v>7585324</v>
      </c>
      <c r="AF399" s="36">
        <v>4551194.3999999994</v>
      </c>
    </row>
    <row r="400" spans="1:32" x14ac:dyDescent="0.35">
      <c r="A400" s="37">
        <v>71400084173</v>
      </c>
      <c r="B400" s="38" t="s">
        <v>1269</v>
      </c>
      <c r="C400" s="38">
        <v>18311750849</v>
      </c>
      <c r="D400" s="38" t="s">
        <v>47</v>
      </c>
      <c r="E400" s="68" t="s">
        <v>55</v>
      </c>
      <c r="F400" s="38" t="s">
        <v>461</v>
      </c>
      <c r="G400" s="38" t="s">
        <v>462</v>
      </c>
      <c r="H400" s="38" t="s">
        <v>4</v>
      </c>
      <c r="I400" s="39">
        <v>0.7</v>
      </c>
      <c r="J400" s="40">
        <v>45067</v>
      </c>
      <c r="K400" s="41">
        <f t="shared" si="6"/>
        <v>45617</v>
      </c>
      <c r="L400" s="38" t="s">
        <v>464</v>
      </c>
      <c r="M400" s="41"/>
      <c r="N400" s="41"/>
      <c r="O400" s="38"/>
      <c r="P400" s="42"/>
      <c r="Q400" s="41"/>
      <c r="R400" s="38"/>
      <c r="S400" s="38" t="s">
        <v>865</v>
      </c>
      <c r="T400" s="38" t="s">
        <v>1257</v>
      </c>
      <c r="U400" s="43">
        <v>7585324</v>
      </c>
      <c r="V400" s="44">
        <v>4551194.3999999994</v>
      </c>
      <c r="W400" s="44">
        <v>758532.4</v>
      </c>
      <c r="X400" s="41">
        <v>45594</v>
      </c>
      <c r="Y400" s="38" t="s">
        <v>4</v>
      </c>
      <c r="Z400" s="38" t="s">
        <v>2</v>
      </c>
      <c r="AA400" s="38" t="s">
        <v>2</v>
      </c>
      <c r="AB400" s="38" t="s">
        <v>4</v>
      </c>
      <c r="AC400" s="38" t="s">
        <v>4</v>
      </c>
      <c r="AD400" s="38" t="s">
        <v>1258</v>
      </c>
      <c r="AE400" s="19">
        <v>7585324</v>
      </c>
      <c r="AF400" s="36">
        <v>4551194.3999999994</v>
      </c>
    </row>
    <row r="401" spans="31:31" x14ac:dyDescent="0.35">
      <c r="AE401" t="e">
        <f>ROUND(Tableau1[[#Totals],[Montant lignes]] / 1000000, 1) &amp; " M"&amp; " DH"</f>
        <v>#REF!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813E8-DD9F-4FB9-A9F7-5FE2DD93B314}">
  <sheetPr codeName="Feuil3"/>
  <dimension ref="A1:AX46"/>
  <sheetViews>
    <sheetView zoomScale="80" zoomScaleNormal="80" workbookViewId="0">
      <selection activeCell="C29" sqref="C29"/>
    </sheetView>
  </sheetViews>
  <sheetFormatPr baseColWidth="10" defaultRowHeight="14.5" x14ac:dyDescent="0.35"/>
  <cols>
    <col min="1" max="1" width="18.08984375" bestFit="1" customWidth="1"/>
    <col min="2" max="2" width="27.6328125" bestFit="1" customWidth="1"/>
    <col min="3" max="3" width="23.81640625" bestFit="1" customWidth="1"/>
    <col min="4" max="4" width="21.08984375" bestFit="1" customWidth="1"/>
    <col min="5" max="5" width="21.81640625" bestFit="1" customWidth="1"/>
    <col min="6" max="6" width="15.6328125" customWidth="1"/>
    <col min="7" max="7" width="23.7265625" bestFit="1" customWidth="1"/>
    <col min="8" max="8" width="21.81640625" customWidth="1"/>
    <col min="9" max="9" width="10.36328125" customWidth="1"/>
    <col min="10" max="10" width="19.36328125" customWidth="1"/>
    <col min="11" max="11" width="20.54296875" bestFit="1" customWidth="1"/>
    <col min="12" max="12" width="11.7265625" bestFit="1" customWidth="1"/>
    <col min="13" max="13" width="16.54296875" bestFit="1" customWidth="1"/>
    <col min="14" max="14" width="27" bestFit="1" customWidth="1"/>
    <col min="15" max="15" width="24" bestFit="1" customWidth="1"/>
    <col min="16" max="16" width="20.453125" bestFit="1" customWidth="1"/>
    <col min="17" max="17" width="17.1796875" bestFit="1" customWidth="1"/>
    <col min="18" max="18" width="29.26953125" bestFit="1" customWidth="1"/>
    <col min="19" max="19" width="26.26953125" bestFit="1" customWidth="1"/>
    <col min="20" max="20" width="19.453125" bestFit="1" customWidth="1"/>
    <col min="21" max="21" width="20.54296875" bestFit="1" customWidth="1"/>
    <col min="22" max="22" width="27.7265625" bestFit="1" customWidth="1"/>
    <col min="23" max="23" width="30.7265625" bestFit="1" customWidth="1"/>
    <col min="24" max="25" width="11.81640625" bestFit="1" customWidth="1"/>
    <col min="26" max="26" width="18.08984375" bestFit="1" customWidth="1"/>
    <col min="27" max="27" width="27.6328125" bestFit="1" customWidth="1"/>
    <col min="28" max="29" width="11.81640625" bestFit="1" customWidth="1"/>
    <col min="30" max="30" width="16.54296875" bestFit="1" customWidth="1"/>
    <col min="31" max="31" width="24.26953125" bestFit="1" customWidth="1"/>
    <col min="32" max="34" width="11.81640625" bestFit="1" customWidth="1"/>
    <col min="35" max="35" width="15.6328125" bestFit="1" customWidth="1"/>
    <col min="36" max="37" width="26.26953125" bestFit="1" customWidth="1"/>
    <col min="38" max="39" width="11.81640625" bestFit="1" customWidth="1"/>
    <col min="40" max="40" width="23.81640625" bestFit="1" customWidth="1"/>
    <col min="41" max="41" width="26.90625" bestFit="1" customWidth="1"/>
    <col min="42" max="42" width="26.1796875" bestFit="1" customWidth="1"/>
    <col min="43" max="43" width="25.90625" bestFit="1" customWidth="1"/>
    <col min="44" max="44" width="11.81640625" bestFit="1" customWidth="1"/>
    <col min="45" max="45" width="16.54296875" bestFit="1" customWidth="1"/>
    <col min="46" max="46" width="24.26953125" bestFit="1" customWidth="1"/>
    <col min="47" max="47" width="26.90625" bestFit="1" customWidth="1"/>
    <col min="48" max="399" width="11.81640625" bestFit="1" customWidth="1"/>
    <col min="400" max="400" width="11.7265625" bestFit="1" customWidth="1"/>
    <col min="401" max="401" width="23.6328125" bestFit="1" customWidth="1"/>
    <col min="402" max="402" width="16.6328125" bestFit="1" customWidth="1"/>
    <col min="403" max="403" width="19.90625" bestFit="1" customWidth="1"/>
    <col min="404" max="404" width="16.6328125" bestFit="1" customWidth="1"/>
    <col min="405" max="405" width="20.08984375" bestFit="1" customWidth="1"/>
    <col min="406" max="406" width="16.6328125" bestFit="1" customWidth="1"/>
    <col min="407" max="407" width="20.26953125" bestFit="1" customWidth="1"/>
    <col min="408" max="408" width="16.6328125" bestFit="1" customWidth="1"/>
    <col min="409" max="409" width="20.26953125" bestFit="1" customWidth="1"/>
    <col min="410" max="410" width="16.6328125" bestFit="1" customWidth="1"/>
    <col min="411" max="411" width="18.54296875" bestFit="1" customWidth="1"/>
    <col min="412" max="412" width="16.6328125" bestFit="1" customWidth="1"/>
    <col min="413" max="413" width="17.81640625" bestFit="1" customWidth="1"/>
    <col min="414" max="414" width="16.6328125" bestFit="1" customWidth="1"/>
    <col min="415" max="415" width="19.453125" bestFit="1" customWidth="1"/>
    <col min="416" max="416" width="16.6328125" bestFit="1" customWidth="1"/>
    <col min="417" max="417" width="20.08984375" bestFit="1" customWidth="1"/>
    <col min="418" max="418" width="16.6328125" bestFit="1" customWidth="1"/>
    <col min="419" max="419" width="22.36328125" bestFit="1" customWidth="1"/>
    <col min="420" max="420" width="16.6328125" bestFit="1" customWidth="1"/>
    <col min="421" max="421" width="22.36328125" bestFit="1" customWidth="1"/>
    <col min="422" max="422" width="16.6328125" bestFit="1" customWidth="1"/>
    <col min="423" max="423" width="22.36328125" bestFit="1" customWidth="1"/>
    <col min="424" max="424" width="16.6328125" bestFit="1" customWidth="1"/>
    <col min="425" max="425" width="19" bestFit="1" customWidth="1"/>
    <col min="426" max="426" width="16.6328125" bestFit="1" customWidth="1"/>
    <col min="427" max="427" width="23.6328125" bestFit="1" customWidth="1"/>
    <col min="428" max="428" width="16.6328125" bestFit="1" customWidth="1"/>
    <col min="429" max="429" width="18.54296875" bestFit="1" customWidth="1"/>
    <col min="430" max="430" width="16.6328125" bestFit="1" customWidth="1"/>
    <col min="431" max="431" width="20.26953125" bestFit="1" customWidth="1"/>
    <col min="432" max="432" width="16.6328125" bestFit="1" customWidth="1"/>
    <col min="433" max="433" width="19.90625" bestFit="1" customWidth="1"/>
    <col min="434" max="434" width="16.6328125" bestFit="1" customWidth="1"/>
    <col min="435" max="435" width="20.08984375" bestFit="1" customWidth="1"/>
    <col min="436" max="436" width="16.6328125" bestFit="1" customWidth="1"/>
    <col min="437" max="437" width="20.26953125" bestFit="1" customWidth="1"/>
    <col min="438" max="438" width="16.6328125" bestFit="1" customWidth="1"/>
    <col min="439" max="439" width="19.453125" bestFit="1" customWidth="1"/>
    <col min="440" max="440" width="16.6328125" bestFit="1" customWidth="1"/>
    <col min="441" max="441" width="22.36328125" bestFit="1" customWidth="1"/>
    <col min="442" max="442" width="16.6328125" bestFit="1" customWidth="1"/>
    <col min="443" max="443" width="21.08984375" bestFit="1" customWidth="1"/>
    <col min="444" max="444" width="16.6328125" bestFit="1" customWidth="1"/>
    <col min="445" max="445" width="19.90625" bestFit="1" customWidth="1"/>
    <col min="446" max="446" width="16.6328125" bestFit="1" customWidth="1"/>
    <col min="447" max="447" width="17.81640625" bestFit="1" customWidth="1"/>
    <col min="448" max="448" width="16.6328125" bestFit="1" customWidth="1"/>
    <col min="449" max="449" width="19" bestFit="1" customWidth="1"/>
    <col min="450" max="450" width="16.6328125" bestFit="1" customWidth="1"/>
    <col min="451" max="451" width="22.36328125" bestFit="1" customWidth="1"/>
    <col min="452" max="452" width="16.6328125" bestFit="1" customWidth="1"/>
    <col min="453" max="453" width="19" bestFit="1" customWidth="1"/>
    <col min="454" max="454" width="16.6328125" bestFit="1" customWidth="1"/>
    <col min="455" max="455" width="19.90625" bestFit="1" customWidth="1"/>
    <col min="456" max="456" width="16.6328125" bestFit="1" customWidth="1"/>
    <col min="457" max="457" width="20.26953125" bestFit="1" customWidth="1"/>
    <col min="458" max="458" width="16.6328125" bestFit="1" customWidth="1"/>
    <col min="459" max="459" width="22.36328125" bestFit="1" customWidth="1"/>
    <col min="460" max="460" width="16.6328125" bestFit="1" customWidth="1"/>
    <col min="461" max="461" width="17.81640625" bestFit="1" customWidth="1"/>
    <col min="462" max="462" width="16.6328125" bestFit="1" customWidth="1"/>
    <col min="463" max="463" width="21.08984375" bestFit="1" customWidth="1"/>
    <col min="464" max="464" width="16.6328125" bestFit="1" customWidth="1"/>
    <col min="465" max="465" width="17.81640625" bestFit="1" customWidth="1"/>
    <col min="466" max="466" width="16.6328125" bestFit="1" customWidth="1"/>
    <col min="467" max="467" width="18.54296875" bestFit="1" customWidth="1"/>
    <col min="468" max="468" width="16.6328125" bestFit="1" customWidth="1"/>
    <col min="469" max="469" width="20.26953125" bestFit="1" customWidth="1"/>
    <col min="470" max="470" width="16.6328125" bestFit="1" customWidth="1"/>
    <col min="471" max="471" width="20.08984375" bestFit="1" customWidth="1"/>
    <col min="472" max="472" width="16.6328125" bestFit="1" customWidth="1"/>
    <col min="473" max="473" width="22.36328125" bestFit="1" customWidth="1"/>
    <col min="474" max="474" width="16.6328125" bestFit="1" customWidth="1"/>
    <col min="475" max="475" width="19" bestFit="1" customWidth="1"/>
    <col min="476" max="476" width="16.6328125" bestFit="1" customWidth="1"/>
    <col min="477" max="477" width="17.81640625" bestFit="1" customWidth="1"/>
    <col min="478" max="478" width="16.6328125" bestFit="1" customWidth="1"/>
    <col min="479" max="479" width="19.453125" bestFit="1" customWidth="1"/>
    <col min="480" max="480" width="16.6328125" bestFit="1" customWidth="1"/>
    <col min="481" max="481" width="19" bestFit="1" customWidth="1"/>
    <col min="482" max="482" width="16.6328125" bestFit="1" customWidth="1"/>
    <col min="483" max="483" width="19" bestFit="1" customWidth="1"/>
    <col min="484" max="484" width="16.6328125" bestFit="1" customWidth="1"/>
    <col min="485" max="485" width="19.453125" bestFit="1" customWidth="1"/>
    <col min="486" max="486" width="16.6328125" bestFit="1" customWidth="1"/>
    <col min="487" max="487" width="22.36328125" bestFit="1" customWidth="1"/>
    <col min="488" max="488" width="16.6328125" bestFit="1" customWidth="1"/>
    <col min="489" max="489" width="19" bestFit="1" customWidth="1"/>
    <col min="490" max="490" width="16.6328125" bestFit="1" customWidth="1"/>
    <col min="491" max="491" width="22.36328125" bestFit="1" customWidth="1"/>
    <col min="492" max="492" width="16.6328125" bestFit="1" customWidth="1"/>
    <col min="493" max="493" width="19.453125" bestFit="1" customWidth="1"/>
    <col min="494" max="494" width="16.6328125" bestFit="1" customWidth="1"/>
    <col min="495" max="495" width="20.08984375" bestFit="1" customWidth="1"/>
    <col min="496" max="496" width="16.6328125" bestFit="1" customWidth="1"/>
    <col min="497" max="497" width="18.54296875" bestFit="1" customWidth="1"/>
    <col min="498" max="498" width="16.6328125" bestFit="1" customWidth="1"/>
    <col min="499" max="499" width="20.08984375" bestFit="1" customWidth="1"/>
    <col min="500" max="500" width="16.6328125" bestFit="1" customWidth="1"/>
    <col min="501" max="501" width="21.08984375" bestFit="1" customWidth="1"/>
    <col min="502" max="502" width="16.6328125" bestFit="1" customWidth="1"/>
    <col min="503" max="503" width="22.36328125" bestFit="1" customWidth="1"/>
    <col min="504" max="504" width="16.6328125" bestFit="1" customWidth="1"/>
    <col min="505" max="505" width="21.08984375" bestFit="1" customWidth="1"/>
    <col min="506" max="506" width="16.6328125" bestFit="1" customWidth="1"/>
    <col min="507" max="507" width="20.26953125" bestFit="1" customWidth="1"/>
    <col min="508" max="508" width="16.6328125" bestFit="1" customWidth="1"/>
    <col min="509" max="509" width="22.36328125" bestFit="1" customWidth="1"/>
    <col min="510" max="510" width="16.6328125" bestFit="1" customWidth="1"/>
    <col min="511" max="511" width="20.08984375" bestFit="1" customWidth="1"/>
    <col min="512" max="512" width="16.6328125" bestFit="1" customWidth="1"/>
    <col min="513" max="513" width="20.08984375" bestFit="1" customWidth="1"/>
    <col min="514" max="514" width="16.6328125" bestFit="1" customWidth="1"/>
    <col min="515" max="515" width="19.453125" bestFit="1" customWidth="1"/>
    <col min="516" max="516" width="16.6328125" bestFit="1" customWidth="1"/>
    <col min="517" max="517" width="20.08984375" bestFit="1" customWidth="1"/>
    <col min="518" max="518" width="16.6328125" bestFit="1" customWidth="1"/>
    <col min="519" max="519" width="23.6328125" bestFit="1" customWidth="1"/>
    <col min="520" max="520" width="16.6328125" bestFit="1" customWidth="1"/>
    <col min="521" max="521" width="23.6328125" bestFit="1" customWidth="1"/>
    <col min="522" max="522" width="16.6328125" bestFit="1" customWidth="1"/>
    <col min="523" max="523" width="23.6328125" bestFit="1" customWidth="1"/>
    <col min="524" max="524" width="16.6328125" bestFit="1" customWidth="1"/>
    <col min="525" max="525" width="23.6328125" bestFit="1" customWidth="1"/>
    <col min="526" max="526" width="16.6328125" bestFit="1" customWidth="1"/>
    <col min="527" max="527" width="19.90625" bestFit="1" customWidth="1"/>
    <col min="528" max="528" width="16.6328125" bestFit="1" customWidth="1"/>
    <col min="529" max="529" width="20.26953125" bestFit="1" customWidth="1"/>
    <col min="530" max="530" width="16.6328125" bestFit="1" customWidth="1"/>
    <col min="531" max="531" width="17.81640625" bestFit="1" customWidth="1"/>
    <col min="532" max="532" width="16.6328125" bestFit="1" customWidth="1"/>
    <col min="533" max="533" width="17.81640625" bestFit="1" customWidth="1"/>
    <col min="534" max="534" width="16.6328125" bestFit="1" customWidth="1"/>
    <col min="535" max="535" width="19.90625" bestFit="1" customWidth="1"/>
    <col min="536" max="536" width="16.6328125" bestFit="1" customWidth="1"/>
    <col min="537" max="537" width="20.26953125" bestFit="1" customWidth="1"/>
    <col min="538" max="538" width="16.6328125" bestFit="1" customWidth="1"/>
    <col min="539" max="539" width="19" bestFit="1" customWidth="1"/>
    <col min="540" max="540" width="16.6328125" bestFit="1" customWidth="1"/>
    <col min="541" max="541" width="19.90625" bestFit="1" customWidth="1"/>
    <col min="542" max="542" width="16.6328125" bestFit="1" customWidth="1"/>
    <col min="543" max="543" width="19.90625" bestFit="1" customWidth="1"/>
    <col min="544" max="544" width="16.6328125" bestFit="1" customWidth="1"/>
    <col min="545" max="545" width="18.54296875" bestFit="1" customWidth="1"/>
    <col min="546" max="546" width="16.6328125" bestFit="1" customWidth="1"/>
    <col min="547" max="547" width="20.26953125" bestFit="1" customWidth="1"/>
    <col min="548" max="548" width="16.6328125" bestFit="1" customWidth="1"/>
    <col min="549" max="549" width="19" bestFit="1" customWidth="1"/>
    <col min="550" max="550" width="16.6328125" bestFit="1" customWidth="1"/>
    <col min="551" max="551" width="19" bestFit="1" customWidth="1"/>
    <col min="552" max="552" width="16.6328125" bestFit="1" customWidth="1"/>
    <col min="553" max="553" width="19.90625" bestFit="1" customWidth="1"/>
    <col min="554" max="554" width="16.6328125" bestFit="1" customWidth="1"/>
    <col min="555" max="555" width="17.81640625" bestFit="1" customWidth="1"/>
    <col min="556" max="556" width="16.6328125" bestFit="1" customWidth="1"/>
    <col min="557" max="557" width="19.90625" bestFit="1" customWidth="1"/>
    <col min="558" max="558" width="16.6328125" bestFit="1" customWidth="1"/>
    <col min="559" max="559" width="23.6328125" bestFit="1" customWidth="1"/>
    <col min="560" max="560" width="16.6328125" bestFit="1" customWidth="1"/>
    <col min="561" max="561" width="17.81640625" bestFit="1" customWidth="1"/>
    <col min="562" max="562" width="16.6328125" bestFit="1" customWidth="1"/>
    <col min="563" max="563" width="23.6328125" bestFit="1" customWidth="1"/>
    <col min="564" max="564" width="16.6328125" bestFit="1" customWidth="1"/>
    <col min="565" max="565" width="22.36328125" bestFit="1" customWidth="1"/>
    <col min="566" max="566" width="16.6328125" bestFit="1" customWidth="1"/>
    <col min="567" max="567" width="21.08984375" bestFit="1" customWidth="1"/>
    <col min="568" max="568" width="16.6328125" bestFit="1" customWidth="1"/>
    <col min="569" max="569" width="19.453125" bestFit="1" customWidth="1"/>
    <col min="570" max="570" width="16.6328125" bestFit="1" customWidth="1"/>
    <col min="571" max="571" width="17.81640625" bestFit="1" customWidth="1"/>
    <col min="572" max="572" width="16.6328125" bestFit="1" customWidth="1"/>
    <col min="573" max="573" width="19" bestFit="1" customWidth="1"/>
    <col min="574" max="574" width="16.6328125" bestFit="1" customWidth="1"/>
    <col min="575" max="575" width="17.81640625" bestFit="1" customWidth="1"/>
    <col min="576" max="576" width="16.6328125" bestFit="1" customWidth="1"/>
    <col min="577" max="577" width="20.08984375" bestFit="1" customWidth="1"/>
    <col min="578" max="578" width="16.6328125" bestFit="1" customWidth="1"/>
    <col min="579" max="579" width="20.26953125" bestFit="1" customWidth="1"/>
    <col min="580" max="580" width="16.6328125" bestFit="1" customWidth="1"/>
    <col min="581" max="581" width="18.54296875" bestFit="1" customWidth="1"/>
    <col min="582" max="582" width="16.6328125" bestFit="1" customWidth="1"/>
    <col min="583" max="583" width="17.81640625" bestFit="1" customWidth="1"/>
    <col min="584" max="584" width="16.6328125" bestFit="1" customWidth="1"/>
    <col min="585" max="585" width="19" bestFit="1" customWidth="1"/>
    <col min="586" max="586" width="16.6328125" bestFit="1" customWidth="1"/>
    <col min="587" max="587" width="20.26953125" bestFit="1" customWidth="1"/>
    <col min="588" max="588" width="16.6328125" bestFit="1" customWidth="1"/>
    <col min="589" max="589" width="20.26953125" bestFit="1" customWidth="1"/>
    <col min="590" max="590" width="16.6328125" bestFit="1" customWidth="1"/>
    <col min="591" max="591" width="18.54296875" bestFit="1" customWidth="1"/>
    <col min="592" max="592" width="16.6328125" bestFit="1" customWidth="1"/>
    <col min="593" max="593" width="18.54296875" bestFit="1" customWidth="1"/>
    <col min="594" max="594" width="16.6328125" bestFit="1" customWidth="1"/>
    <col min="595" max="595" width="19" bestFit="1" customWidth="1"/>
    <col min="596" max="596" width="16.6328125" bestFit="1" customWidth="1"/>
    <col min="597" max="597" width="21.08984375" bestFit="1" customWidth="1"/>
    <col min="598" max="598" width="16.6328125" bestFit="1" customWidth="1"/>
    <col min="599" max="599" width="19.90625" bestFit="1" customWidth="1"/>
    <col min="600" max="600" width="16.6328125" bestFit="1" customWidth="1"/>
    <col min="601" max="601" width="21.08984375" bestFit="1" customWidth="1"/>
    <col min="602" max="602" width="16.6328125" bestFit="1" customWidth="1"/>
    <col min="603" max="603" width="19.90625" bestFit="1" customWidth="1"/>
    <col min="604" max="604" width="16.6328125" bestFit="1" customWidth="1"/>
    <col min="605" max="605" width="20.26953125" bestFit="1" customWidth="1"/>
    <col min="606" max="606" width="16.6328125" bestFit="1" customWidth="1"/>
    <col min="607" max="607" width="17.81640625" bestFit="1" customWidth="1"/>
    <col min="608" max="608" width="16.6328125" bestFit="1" customWidth="1"/>
    <col min="609" max="609" width="17.81640625" bestFit="1" customWidth="1"/>
    <col min="610" max="610" width="16.6328125" bestFit="1" customWidth="1"/>
    <col min="611" max="611" width="19.90625" bestFit="1" customWidth="1"/>
    <col min="612" max="612" width="16.6328125" bestFit="1" customWidth="1"/>
    <col min="613" max="613" width="18.54296875" bestFit="1" customWidth="1"/>
    <col min="614" max="614" width="16.6328125" bestFit="1" customWidth="1"/>
    <col min="615" max="615" width="19.453125" bestFit="1" customWidth="1"/>
    <col min="616" max="616" width="16.6328125" bestFit="1" customWidth="1"/>
    <col min="617" max="617" width="22.36328125" bestFit="1" customWidth="1"/>
    <col min="618" max="618" width="16.6328125" bestFit="1" customWidth="1"/>
    <col min="619" max="619" width="19.90625" bestFit="1" customWidth="1"/>
    <col min="620" max="620" width="16.6328125" bestFit="1" customWidth="1"/>
    <col min="621" max="621" width="18.54296875" bestFit="1" customWidth="1"/>
    <col min="622" max="622" width="16.6328125" bestFit="1" customWidth="1"/>
    <col min="623" max="623" width="23.6328125" bestFit="1" customWidth="1"/>
    <col min="624" max="624" width="16.6328125" bestFit="1" customWidth="1"/>
    <col min="625" max="625" width="17.81640625" bestFit="1" customWidth="1"/>
    <col min="626" max="626" width="16.6328125" bestFit="1" customWidth="1"/>
    <col min="627" max="627" width="20.08984375" bestFit="1" customWidth="1"/>
    <col min="628" max="628" width="16.6328125" bestFit="1" customWidth="1"/>
    <col min="629" max="629" width="18.54296875" bestFit="1" customWidth="1"/>
    <col min="630" max="630" width="16.6328125" bestFit="1" customWidth="1"/>
    <col min="631" max="631" width="19.90625" bestFit="1" customWidth="1"/>
    <col min="632" max="632" width="16.6328125" bestFit="1" customWidth="1"/>
    <col min="633" max="633" width="20.26953125" bestFit="1" customWidth="1"/>
    <col min="634" max="634" width="16.6328125" bestFit="1" customWidth="1"/>
    <col min="635" max="635" width="23.6328125" bestFit="1" customWidth="1"/>
    <col min="636" max="636" width="16.6328125" bestFit="1" customWidth="1"/>
    <col min="637" max="637" width="23.6328125" bestFit="1" customWidth="1"/>
    <col min="638" max="638" width="16.6328125" bestFit="1" customWidth="1"/>
    <col min="639" max="639" width="19.90625" bestFit="1" customWidth="1"/>
    <col min="640" max="640" width="16.6328125" bestFit="1" customWidth="1"/>
    <col min="641" max="641" width="21.08984375" bestFit="1" customWidth="1"/>
    <col min="642" max="642" width="16.6328125" bestFit="1" customWidth="1"/>
    <col min="643" max="643" width="19.453125" bestFit="1" customWidth="1"/>
    <col min="644" max="644" width="16.6328125" bestFit="1" customWidth="1"/>
    <col min="645" max="645" width="20.26953125" bestFit="1" customWidth="1"/>
    <col min="646" max="646" width="16.6328125" bestFit="1" customWidth="1"/>
    <col min="647" max="647" width="21.08984375" bestFit="1" customWidth="1"/>
    <col min="648" max="648" width="16.6328125" bestFit="1" customWidth="1"/>
    <col min="649" max="649" width="19.453125" bestFit="1" customWidth="1"/>
    <col min="650" max="650" width="16.6328125" bestFit="1" customWidth="1"/>
    <col min="651" max="651" width="17.81640625" bestFit="1" customWidth="1"/>
    <col min="652" max="652" width="16.6328125" bestFit="1" customWidth="1"/>
    <col min="653" max="653" width="23.6328125" bestFit="1" customWidth="1"/>
    <col min="654" max="654" width="16.6328125" bestFit="1" customWidth="1"/>
    <col min="655" max="655" width="20.26953125" bestFit="1" customWidth="1"/>
    <col min="656" max="656" width="16.6328125" bestFit="1" customWidth="1"/>
    <col min="657" max="657" width="20.26953125" bestFit="1" customWidth="1"/>
    <col min="658" max="658" width="16.6328125" bestFit="1" customWidth="1"/>
    <col min="659" max="659" width="19.90625" bestFit="1" customWidth="1"/>
    <col min="660" max="660" width="16.6328125" bestFit="1" customWidth="1"/>
    <col min="661" max="661" width="18.54296875" bestFit="1" customWidth="1"/>
    <col min="662" max="662" width="16.6328125" bestFit="1" customWidth="1"/>
    <col min="663" max="663" width="23.6328125" bestFit="1" customWidth="1"/>
    <col min="664" max="664" width="16.6328125" bestFit="1" customWidth="1"/>
    <col min="665" max="665" width="20.08984375" bestFit="1" customWidth="1"/>
    <col min="666" max="666" width="16.6328125" bestFit="1" customWidth="1"/>
    <col min="667" max="667" width="19" bestFit="1" customWidth="1"/>
    <col min="668" max="668" width="16.6328125" bestFit="1" customWidth="1"/>
    <col min="669" max="669" width="21.08984375" bestFit="1" customWidth="1"/>
    <col min="670" max="670" width="16.6328125" bestFit="1" customWidth="1"/>
    <col min="671" max="671" width="17.81640625" bestFit="1" customWidth="1"/>
    <col min="672" max="672" width="16.6328125" bestFit="1" customWidth="1"/>
    <col min="673" max="673" width="23.6328125" bestFit="1" customWidth="1"/>
    <col min="674" max="674" width="16.6328125" bestFit="1" customWidth="1"/>
    <col min="675" max="675" width="21.08984375" bestFit="1" customWidth="1"/>
    <col min="676" max="676" width="16.6328125" bestFit="1" customWidth="1"/>
    <col min="677" max="677" width="18.54296875" bestFit="1" customWidth="1"/>
    <col min="678" max="678" width="16.6328125" bestFit="1" customWidth="1"/>
    <col min="679" max="679" width="19.90625" bestFit="1" customWidth="1"/>
    <col min="680" max="680" width="16.6328125" bestFit="1" customWidth="1"/>
    <col min="681" max="681" width="23.6328125" bestFit="1" customWidth="1"/>
    <col min="682" max="682" width="16.6328125" bestFit="1" customWidth="1"/>
    <col min="683" max="683" width="20.26953125" bestFit="1" customWidth="1"/>
    <col min="684" max="684" width="16.6328125" bestFit="1" customWidth="1"/>
    <col min="685" max="685" width="19.90625" bestFit="1" customWidth="1"/>
    <col min="686" max="686" width="16.6328125" bestFit="1" customWidth="1"/>
    <col min="687" max="687" width="17.81640625" bestFit="1" customWidth="1"/>
    <col min="688" max="688" width="16.6328125" bestFit="1" customWidth="1"/>
    <col min="689" max="689" width="23.6328125" bestFit="1" customWidth="1"/>
    <col min="690" max="690" width="16.6328125" bestFit="1" customWidth="1"/>
    <col min="691" max="691" width="21.08984375" bestFit="1" customWidth="1"/>
    <col min="692" max="692" width="16.6328125" bestFit="1" customWidth="1"/>
    <col min="693" max="693" width="17.81640625" bestFit="1" customWidth="1"/>
    <col min="694" max="694" width="16.6328125" bestFit="1" customWidth="1"/>
    <col min="695" max="695" width="20.08984375" bestFit="1" customWidth="1"/>
    <col min="696" max="696" width="16.6328125" bestFit="1" customWidth="1"/>
    <col min="697" max="697" width="21.08984375" bestFit="1" customWidth="1"/>
    <col min="698" max="698" width="16.6328125" bestFit="1" customWidth="1"/>
    <col min="699" max="699" width="22.36328125" bestFit="1" customWidth="1"/>
    <col min="700" max="700" width="16.6328125" bestFit="1" customWidth="1"/>
    <col min="701" max="701" width="19.453125" bestFit="1" customWidth="1"/>
    <col min="702" max="702" width="16.6328125" bestFit="1" customWidth="1"/>
    <col min="703" max="703" width="22.36328125" bestFit="1" customWidth="1"/>
    <col min="704" max="704" width="16.6328125" bestFit="1" customWidth="1"/>
    <col min="705" max="705" width="19.90625" bestFit="1" customWidth="1"/>
    <col min="706" max="706" width="16.6328125" bestFit="1" customWidth="1"/>
    <col min="707" max="707" width="21.08984375" bestFit="1" customWidth="1"/>
    <col min="708" max="708" width="16.6328125" bestFit="1" customWidth="1"/>
    <col min="709" max="709" width="21.08984375" bestFit="1" customWidth="1"/>
    <col min="710" max="710" width="16.6328125" bestFit="1" customWidth="1"/>
    <col min="711" max="711" width="20.26953125" bestFit="1" customWidth="1"/>
    <col min="712" max="712" width="16.6328125" bestFit="1" customWidth="1"/>
    <col min="713" max="713" width="20.26953125" bestFit="1" customWidth="1"/>
    <col min="714" max="714" width="16.6328125" bestFit="1" customWidth="1"/>
    <col min="715" max="715" width="19" bestFit="1" customWidth="1"/>
    <col min="716" max="716" width="16.6328125" bestFit="1" customWidth="1"/>
    <col min="717" max="717" width="22.36328125" bestFit="1" customWidth="1"/>
    <col min="718" max="718" width="16.6328125" bestFit="1" customWidth="1"/>
    <col min="719" max="719" width="22.36328125" bestFit="1" customWidth="1"/>
    <col min="720" max="720" width="16.6328125" bestFit="1" customWidth="1"/>
    <col min="721" max="721" width="19" bestFit="1" customWidth="1"/>
    <col min="722" max="722" width="16.6328125" bestFit="1" customWidth="1"/>
    <col min="723" max="723" width="19" bestFit="1" customWidth="1"/>
    <col min="724" max="724" width="16.6328125" bestFit="1" customWidth="1"/>
    <col min="725" max="725" width="17.81640625" bestFit="1" customWidth="1"/>
    <col min="726" max="726" width="16.6328125" bestFit="1" customWidth="1"/>
    <col min="727" max="727" width="23.6328125" bestFit="1" customWidth="1"/>
    <col min="728" max="728" width="16.6328125" bestFit="1" customWidth="1"/>
    <col min="729" max="729" width="19" bestFit="1" customWidth="1"/>
    <col min="730" max="730" width="16.6328125" bestFit="1" customWidth="1"/>
    <col min="731" max="731" width="22.36328125" bestFit="1" customWidth="1"/>
    <col min="732" max="732" width="16.6328125" bestFit="1" customWidth="1"/>
    <col min="733" max="733" width="20.08984375" bestFit="1" customWidth="1"/>
    <col min="734" max="734" width="16.6328125" bestFit="1" customWidth="1"/>
    <col min="735" max="735" width="20.08984375" bestFit="1" customWidth="1"/>
    <col min="736" max="736" width="16.6328125" bestFit="1" customWidth="1"/>
    <col min="737" max="737" width="21.08984375" bestFit="1" customWidth="1"/>
    <col min="738" max="738" width="16.6328125" bestFit="1" customWidth="1"/>
    <col min="739" max="739" width="19.90625" bestFit="1" customWidth="1"/>
    <col min="740" max="740" width="16.6328125" bestFit="1" customWidth="1"/>
    <col min="741" max="741" width="19" bestFit="1" customWidth="1"/>
    <col min="742" max="742" width="16.6328125" bestFit="1" customWidth="1"/>
    <col min="743" max="743" width="19.90625" bestFit="1" customWidth="1"/>
    <col min="744" max="744" width="16.6328125" bestFit="1" customWidth="1"/>
    <col min="745" max="745" width="19.453125" bestFit="1" customWidth="1"/>
    <col min="746" max="746" width="16.6328125" bestFit="1" customWidth="1"/>
    <col min="747" max="747" width="18.54296875" bestFit="1" customWidth="1"/>
    <col min="748" max="748" width="16.6328125" bestFit="1" customWidth="1"/>
    <col min="749" max="749" width="22.36328125" bestFit="1" customWidth="1"/>
    <col min="750" max="750" width="16.6328125" bestFit="1" customWidth="1"/>
    <col min="751" max="751" width="20.26953125" bestFit="1" customWidth="1"/>
    <col min="752" max="752" width="16.6328125" bestFit="1" customWidth="1"/>
    <col min="753" max="753" width="23.6328125" bestFit="1" customWidth="1"/>
    <col min="754" max="754" width="16.6328125" bestFit="1" customWidth="1"/>
    <col min="755" max="755" width="19.90625" bestFit="1" customWidth="1"/>
    <col min="756" max="756" width="16.6328125" bestFit="1" customWidth="1"/>
    <col min="757" max="757" width="22.36328125" bestFit="1" customWidth="1"/>
    <col min="758" max="758" width="16.6328125" bestFit="1" customWidth="1"/>
    <col min="759" max="759" width="18.54296875" bestFit="1" customWidth="1"/>
    <col min="760" max="760" width="16.6328125" bestFit="1" customWidth="1"/>
    <col min="761" max="761" width="18.54296875" bestFit="1" customWidth="1"/>
    <col min="762" max="762" width="16.6328125" bestFit="1" customWidth="1"/>
    <col min="763" max="763" width="20.08984375" bestFit="1" customWidth="1"/>
    <col min="764" max="764" width="16.6328125" bestFit="1" customWidth="1"/>
    <col min="765" max="765" width="18.54296875" bestFit="1" customWidth="1"/>
    <col min="766" max="766" width="16.6328125" bestFit="1" customWidth="1"/>
    <col min="767" max="767" width="20.08984375" bestFit="1" customWidth="1"/>
    <col min="768" max="768" width="16.6328125" bestFit="1" customWidth="1"/>
    <col min="769" max="769" width="19.90625" bestFit="1" customWidth="1"/>
    <col min="770" max="770" width="16.6328125" bestFit="1" customWidth="1"/>
    <col min="771" max="771" width="20.26953125" bestFit="1" customWidth="1"/>
    <col min="772" max="772" width="16.6328125" bestFit="1" customWidth="1"/>
    <col min="773" max="773" width="19.90625" bestFit="1" customWidth="1"/>
    <col min="774" max="774" width="16.6328125" bestFit="1" customWidth="1"/>
    <col min="775" max="775" width="18.54296875" bestFit="1" customWidth="1"/>
    <col min="776" max="776" width="16.6328125" bestFit="1" customWidth="1"/>
    <col min="777" max="777" width="18.54296875" bestFit="1" customWidth="1"/>
    <col min="778" max="778" width="16.6328125" bestFit="1" customWidth="1"/>
    <col min="779" max="779" width="21.08984375" bestFit="1" customWidth="1"/>
    <col min="780" max="780" width="16.6328125" bestFit="1" customWidth="1"/>
    <col min="781" max="781" width="20.08984375" bestFit="1" customWidth="1"/>
    <col min="782" max="782" width="16.6328125" bestFit="1" customWidth="1"/>
    <col min="783" max="783" width="18.54296875" bestFit="1" customWidth="1"/>
    <col min="784" max="784" width="16.6328125" bestFit="1" customWidth="1"/>
    <col min="785" max="785" width="21.08984375" bestFit="1" customWidth="1"/>
    <col min="786" max="786" width="16.6328125" bestFit="1" customWidth="1"/>
    <col min="787" max="787" width="23.6328125" bestFit="1" customWidth="1"/>
    <col min="788" max="788" width="16.6328125" bestFit="1" customWidth="1"/>
    <col min="789" max="789" width="19.90625" bestFit="1" customWidth="1"/>
    <col min="790" max="790" width="16.6328125" bestFit="1" customWidth="1"/>
    <col min="791" max="791" width="17.81640625" bestFit="1" customWidth="1"/>
    <col min="792" max="792" width="16.6328125" bestFit="1" customWidth="1"/>
    <col min="793" max="793" width="19.453125" bestFit="1" customWidth="1"/>
    <col min="794" max="794" width="16.6328125" bestFit="1" customWidth="1"/>
    <col min="795" max="795" width="17.81640625" bestFit="1" customWidth="1"/>
    <col min="796" max="796" width="16.6328125" bestFit="1" customWidth="1"/>
    <col min="797" max="797" width="11.7265625" bestFit="1" customWidth="1"/>
    <col min="798" max="798" width="17" bestFit="1" customWidth="1"/>
    <col min="799" max="799" width="14.7265625" bestFit="1" customWidth="1"/>
    <col min="800" max="800" width="17.81640625" bestFit="1" customWidth="1"/>
    <col min="801" max="801" width="14.7265625" bestFit="1" customWidth="1"/>
    <col min="802" max="802" width="18.26953125" bestFit="1" customWidth="1"/>
    <col min="803" max="803" width="14.7265625" bestFit="1" customWidth="1"/>
    <col min="804" max="804" width="18.26953125" bestFit="1" customWidth="1"/>
    <col min="805" max="805" width="12.90625" bestFit="1" customWidth="1"/>
    <col min="806" max="806" width="17.81640625" bestFit="1" customWidth="1"/>
    <col min="807" max="807" width="35" bestFit="1" customWidth="1"/>
    <col min="808" max="808" width="16.6328125" bestFit="1" customWidth="1"/>
  </cols>
  <sheetData>
    <row r="1" spans="1:50" x14ac:dyDescent="0.35">
      <c r="X1" t="s">
        <v>1277</v>
      </c>
      <c r="AI1" s="48" t="s">
        <v>1291</v>
      </c>
      <c r="AJ1" s="48" t="s">
        <v>1292</v>
      </c>
      <c r="AK1" s="48" t="s">
        <v>1273</v>
      </c>
    </row>
    <row r="2" spans="1:50" x14ac:dyDescent="0.35">
      <c r="A2" s="32" t="s">
        <v>1272</v>
      </c>
      <c r="B2" s="32" t="s">
        <v>1271</v>
      </c>
      <c r="C2" s="32" t="s">
        <v>1263</v>
      </c>
      <c r="E2" s="11" t="s">
        <v>0</v>
      </c>
      <c r="F2" t="s">
        <v>1262</v>
      </c>
      <c r="Q2" s="30" t="s">
        <v>1270</v>
      </c>
      <c r="R2" s="30" t="s">
        <v>1264</v>
      </c>
      <c r="S2" s="30" t="s">
        <v>1273</v>
      </c>
      <c r="X2" t="s">
        <v>1285</v>
      </c>
      <c r="AI2" s="49" t="s">
        <v>1259</v>
      </c>
      <c r="AJ2" s="81">
        <v>50</v>
      </c>
      <c r="AK2" s="50">
        <v>146614977.59999999</v>
      </c>
      <c r="AL2" t="str">
        <f>ROUND(GETPIVOTDATA("Somme de Montant Garantie",$AI$1,"Flag a renouveller ","A renouveller")/ 1000000, 1) &amp; " M" &amp; " DH"</f>
        <v>146,6 M DH</v>
      </c>
      <c r="AN2" s="11" t="s">
        <v>23</v>
      </c>
      <c r="AO2" t="s">
        <v>54</v>
      </c>
      <c r="AS2" s="28" t="s">
        <v>1261</v>
      </c>
      <c r="AT2" s="28" t="s">
        <v>1260</v>
      </c>
      <c r="AU2" s="28" t="s">
        <v>1262</v>
      </c>
    </row>
    <row r="3" spans="1:50" x14ac:dyDescent="0.35">
      <c r="A3" s="70" t="s">
        <v>4</v>
      </c>
      <c r="B3" s="79">
        <v>55</v>
      </c>
      <c r="C3" s="71">
        <v>266732945</v>
      </c>
      <c r="D3" t="str">
        <f>ROUND(GETPIVOTDATA("Somme de Montant lignes",$A$2,"Commission Payée","KO")/ 1000000, 1) &amp; " M" &amp; " DH"</f>
        <v>266,7 M DH</v>
      </c>
      <c r="E3" s="12" t="s">
        <v>2</v>
      </c>
      <c r="F3" s="27">
        <v>387210158.9999997</v>
      </c>
      <c r="G3" t="str">
        <f>ROUND(GETPIVOTDATA("Montant garanties",$E$2,"Statut Garantie","Echue")/ 1000000, 1) &amp; " M" &amp; " DH"</f>
        <v>387,2 M DH</v>
      </c>
      <c r="H3" s="30" t="s">
        <v>10</v>
      </c>
      <c r="I3" s="30" t="s">
        <v>1274</v>
      </c>
      <c r="J3" s="11" t="s">
        <v>0</v>
      </c>
      <c r="M3" s="74" t="s">
        <v>1261</v>
      </c>
      <c r="N3" s="74" t="s">
        <v>1293</v>
      </c>
      <c r="Q3" s="31" t="s">
        <v>4</v>
      </c>
      <c r="R3" s="77">
        <v>52</v>
      </c>
      <c r="S3" s="46">
        <v>171350569.80000004</v>
      </c>
      <c r="T3" t="str">
        <f>ROUND(GETPIVOTDATA("Somme de Montant Garantie",$Q$2,"Statut Acte Physique","KO")/ 1000000, 1) &amp; " M" &amp; " DH"</f>
        <v>171,4 M DH</v>
      </c>
      <c r="U3" s="11" t="s">
        <v>0</v>
      </c>
      <c r="V3" t="s">
        <v>1275</v>
      </c>
      <c r="X3" t="s">
        <v>1284</v>
      </c>
      <c r="Z3" s="32" t="s">
        <v>1272</v>
      </c>
      <c r="AA3" s="32" t="s">
        <v>1271</v>
      </c>
      <c r="AD3" s="28" t="s">
        <v>1261</v>
      </c>
      <c r="AE3" s="28" t="s">
        <v>1260</v>
      </c>
      <c r="AI3" s="51" t="s">
        <v>1269</v>
      </c>
      <c r="AJ3" s="81">
        <v>50</v>
      </c>
      <c r="AK3" s="50">
        <v>146614977.59999999</v>
      </c>
      <c r="AN3" s="11" t="s">
        <v>5</v>
      </c>
      <c r="AO3" t="s">
        <v>1290</v>
      </c>
      <c r="AS3" s="29" t="s">
        <v>2</v>
      </c>
      <c r="AT3" s="73">
        <v>55</v>
      </c>
      <c r="AU3" s="45">
        <v>171753357</v>
      </c>
      <c r="AV3" t="str">
        <f>ROUND(GETPIVOTDATA("Somme de Montant garanties",$AS$2,"Statut Garantie","Echue")/ 1000000, 1) &amp; " M" &amp; " DH"</f>
        <v>171,8 M DH</v>
      </c>
      <c r="AX3" t="s">
        <v>1299</v>
      </c>
    </row>
    <row r="4" spans="1:50" hidden="1" x14ac:dyDescent="0.35">
      <c r="A4" s="72" t="s">
        <v>1269</v>
      </c>
      <c r="B4" s="79">
        <v>55</v>
      </c>
      <c r="C4" s="71">
        <v>266732945</v>
      </c>
      <c r="E4" s="12" t="s">
        <v>1258</v>
      </c>
      <c r="F4" s="27">
        <v>891065229.60000002</v>
      </c>
      <c r="G4" t="str">
        <f>ROUND(GETPIVOTDATA("Montant garanties",$E$2,"Statut Garantie","Valide")/ 1000000, 1) &amp; " M" &amp; " DH"</f>
        <v>891,1 M DH</v>
      </c>
      <c r="H4" s="30" t="s">
        <v>4</v>
      </c>
      <c r="I4" s="80">
        <v>52</v>
      </c>
      <c r="J4" s="12" t="s">
        <v>1267</v>
      </c>
      <c r="M4" s="75" t="s">
        <v>1259</v>
      </c>
      <c r="N4" s="76">
        <v>50</v>
      </c>
      <c r="Q4" s="47" t="s">
        <v>1269</v>
      </c>
      <c r="R4" s="77">
        <v>52</v>
      </c>
      <c r="S4" s="46">
        <v>171350569.80000004</v>
      </c>
      <c r="U4" s="12" t="s">
        <v>462</v>
      </c>
      <c r="V4">
        <v>198</v>
      </c>
      <c r="X4" t="s">
        <v>1278</v>
      </c>
      <c r="Z4" s="33" t="s">
        <v>4</v>
      </c>
      <c r="AA4" s="78">
        <v>55</v>
      </c>
      <c r="AD4" s="29" t="s">
        <v>2</v>
      </c>
      <c r="AE4" s="73">
        <v>55</v>
      </c>
      <c r="AI4" s="49" t="s">
        <v>1258</v>
      </c>
      <c r="AJ4" s="81">
        <v>50</v>
      </c>
      <c r="AK4" s="50">
        <v>167084844</v>
      </c>
      <c r="AL4" t="str">
        <f>ROUND(GETPIVOTDATA("Somme de Montant Garantie",$AI$1,"Flag a renouveller ","Valide")/ 1000000, 1) &amp; " M" &amp; " DH"</f>
        <v>167,1 M DH</v>
      </c>
      <c r="AS4" s="29" t="s">
        <v>1258</v>
      </c>
      <c r="AT4" s="73">
        <v>45</v>
      </c>
      <c r="AU4" s="45">
        <v>143752375.79999998</v>
      </c>
      <c r="AV4" t="str">
        <f>ROUND(GETPIVOTDATA("Somme de Montant garanties",$AS$2,"Statut Garantie","Valide") / 1000000, 1) &amp; " M"&amp; " DH"</f>
        <v>143,8 M DH</v>
      </c>
      <c r="AX4" t="s">
        <v>1294</v>
      </c>
    </row>
    <row r="5" spans="1:50" hidden="1" x14ac:dyDescent="0.35">
      <c r="A5" s="70" t="s">
        <v>3</v>
      </c>
      <c r="B5" s="79">
        <v>45</v>
      </c>
      <c r="C5" s="71">
        <v>259109943</v>
      </c>
      <c r="D5" t="str">
        <f>ROUND(GETPIVOTDATA("Somme de Montant lignes",$A$2,"Commission Payée","OK")/ 1000000, 1) &amp; " M" &amp; " DH"</f>
        <v>259,1 M DH</v>
      </c>
      <c r="E5" s="12" t="s">
        <v>1</v>
      </c>
      <c r="F5">
        <v>1278275388.5999997</v>
      </c>
      <c r="H5" s="30" t="s">
        <v>3</v>
      </c>
      <c r="I5" s="80">
        <v>48</v>
      </c>
      <c r="J5" s="12" t="s">
        <v>1</v>
      </c>
      <c r="M5" s="75" t="s">
        <v>1</v>
      </c>
      <c r="N5" s="76">
        <v>50</v>
      </c>
      <c r="Q5" s="31" t="s">
        <v>3</v>
      </c>
      <c r="R5" s="77">
        <v>48</v>
      </c>
      <c r="S5" s="46">
        <v>142349251.79999998</v>
      </c>
      <c r="T5" t="str">
        <f>ROUND(GETPIVOTDATA("Somme de Montant Garantie",$Q$2,"Statut Acte Physique","OK")/ 1000000, 1) &amp; " M" &amp; " DH"</f>
        <v>142,3 M DH</v>
      </c>
      <c r="U5" s="12" t="s">
        <v>463</v>
      </c>
      <c r="V5">
        <v>200</v>
      </c>
      <c r="X5" t="s">
        <v>1279</v>
      </c>
      <c r="Z5" s="33" t="s">
        <v>3</v>
      </c>
      <c r="AA5" s="78">
        <v>45</v>
      </c>
      <c r="AD5" s="29" t="s">
        <v>1258</v>
      </c>
      <c r="AE5" s="73">
        <v>45</v>
      </c>
      <c r="AI5" s="51" t="s">
        <v>1269</v>
      </c>
      <c r="AJ5" s="81">
        <v>50</v>
      </c>
      <c r="AK5" s="50">
        <v>167084844</v>
      </c>
      <c r="AN5" t="s">
        <v>1263</v>
      </c>
      <c r="AO5" t="s">
        <v>1262</v>
      </c>
      <c r="AS5" s="29" t="s">
        <v>1</v>
      </c>
      <c r="AT5" s="73">
        <v>100</v>
      </c>
      <c r="AU5" s="45">
        <v>315505732.79999995</v>
      </c>
      <c r="AX5" t="s">
        <v>1295</v>
      </c>
    </row>
    <row r="6" spans="1:50" hidden="1" x14ac:dyDescent="0.35">
      <c r="A6" s="72" t="s">
        <v>1269</v>
      </c>
      <c r="B6" s="79">
        <v>45</v>
      </c>
      <c r="C6" s="71">
        <v>259109943</v>
      </c>
      <c r="H6" s="30" t="s">
        <v>1</v>
      </c>
      <c r="I6" s="80">
        <v>100</v>
      </c>
      <c r="Q6" s="47" t="s">
        <v>1269</v>
      </c>
      <c r="R6" s="77">
        <v>48</v>
      </c>
      <c r="S6" s="46">
        <v>142349251.79999998</v>
      </c>
      <c r="U6" s="12" t="s">
        <v>1</v>
      </c>
      <c r="V6">
        <v>398</v>
      </c>
      <c r="X6" t="s">
        <v>1280</v>
      </c>
      <c r="Z6" s="33" t="s">
        <v>1</v>
      </c>
      <c r="AA6" s="78">
        <v>100</v>
      </c>
      <c r="AD6" s="29" t="s">
        <v>1</v>
      </c>
      <c r="AE6" s="73">
        <v>100</v>
      </c>
      <c r="AI6" s="49" t="s">
        <v>1</v>
      </c>
      <c r="AJ6" s="81">
        <v>100</v>
      </c>
      <c r="AK6" s="50">
        <v>313699821.5999999</v>
      </c>
      <c r="AN6" s="27">
        <v>177207194</v>
      </c>
      <c r="AO6" s="27">
        <v>106324316.39999998</v>
      </c>
      <c r="AS6" s="12"/>
      <c r="AT6" s="12"/>
      <c r="AU6" s="12"/>
      <c r="AV6" s="12"/>
      <c r="AX6" t="s">
        <v>1296</v>
      </c>
    </row>
    <row r="7" spans="1:50" x14ac:dyDescent="0.35">
      <c r="A7" s="70" t="s">
        <v>1</v>
      </c>
      <c r="B7" s="79">
        <v>100</v>
      </c>
      <c r="C7" s="71">
        <v>525842888</v>
      </c>
      <c r="Q7" s="31" t="s">
        <v>1</v>
      </c>
      <c r="R7" s="77">
        <v>100</v>
      </c>
      <c r="S7" s="46">
        <v>313699821.60000008</v>
      </c>
      <c r="X7" t="s">
        <v>1281</v>
      </c>
      <c r="AX7" t="s">
        <v>1297</v>
      </c>
    </row>
    <row r="8" spans="1:50" hidden="1" x14ac:dyDescent="0.35">
      <c r="M8" s="60"/>
      <c r="N8" s="60"/>
      <c r="X8" t="s">
        <v>1286</v>
      </c>
      <c r="AX8" t="s">
        <v>1298</v>
      </c>
    </row>
    <row r="9" spans="1:50" x14ac:dyDescent="0.35">
      <c r="M9" s="60"/>
      <c r="N9" s="60"/>
      <c r="X9" t="s">
        <v>1282</v>
      </c>
    </row>
    <row r="10" spans="1:50" x14ac:dyDescent="0.35">
      <c r="M10" s="60"/>
      <c r="N10" s="60"/>
      <c r="X10" t="s">
        <v>1287</v>
      </c>
    </row>
    <row r="11" spans="1:50" x14ac:dyDescent="0.35">
      <c r="M11" s="60"/>
      <c r="N11" s="60"/>
      <c r="X11" t="s">
        <v>1288</v>
      </c>
    </row>
    <row r="12" spans="1:50" x14ac:dyDescent="0.35">
      <c r="M12" s="60"/>
      <c r="N12" s="60"/>
      <c r="X12" t="s">
        <v>1289</v>
      </c>
    </row>
    <row r="13" spans="1:50" x14ac:dyDescent="0.35">
      <c r="M13" s="60"/>
      <c r="N13" s="60"/>
      <c r="X13" t="s">
        <v>1283</v>
      </c>
    </row>
    <row r="14" spans="1:50" x14ac:dyDescent="0.35">
      <c r="M14" s="60"/>
      <c r="N14" s="60"/>
    </row>
    <row r="15" spans="1:50" x14ac:dyDescent="0.35">
      <c r="M15" s="60"/>
      <c r="N15" s="60"/>
    </row>
    <row r="16" spans="1:50" x14ac:dyDescent="0.35">
      <c r="M16" s="60"/>
      <c r="N16" s="60"/>
    </row>
    <row r="17" spans="13:14" x14ac:dyDescent="0.35">
      <c r="M17" s="60"/>
      <c r="N17" s="60"/>
    </row>
    <row r="18" spans="13:14" x14ac:dyDescent="0.35">
      <c r="M18" s="60"/>
      <c r="N18" s="60"/>
    </row>
    <row r="19" spans="13:14" x14ac:dyDescent="0.35">
      <c r="M19" s="60"/>
      <c r="N19" s="60"/>
    </row>
    <row r="20" spans="13:14" x14ac:dyDescent="0.35">
      <c r="M20" s="60"/>
      <c r="N20" s="60"/>
    </row>
    <row r="21" spans="13:14" x14ac:dyDescent="0.35">
      <c r="M21" s="60"/>
      <c r="N21" s="60"/>
    </row>
    <row r="22" spans="13:14" x14ac:dyDescent="0.35">
      <c r="M22" s="60"/>
      <c r="N22" s="60"/>
    </row>
    <row r="23" spans="13:14" x14ac:dyDescent="0.35">
      <c r="M23" s="60"/>
      <c r="N23" s="60"/>
    </row>
    <row r="24" spans="13:14" x14ac:dyDescent="0.35">
      <c r="M24" s="60"/>
      <c r="N24" s="60"/>
    </row>
    <row r="25" spans="13:14" x14ac:dyDescent="0.35">
      <c r="M25" s="60"/>
      <c r="N25" s="60"/>
    </row>
    <row r="26" spans="13:14" x14ac:dyDescent="0.35">
      <c r="M26" s="60"/>
      <c r="N26" s="60"/>
    </row>
    <row r="27" spans="13:14" x14ac:dyDescent="0.35">
      <c r="M27" s="60"/>
      <c r="N27" s="60"/>
    </row>
    <row r="28" spans="13:14" x14ac:dyDescent="0.35">
      <c r="M28" s="60"/>
      <c r="N28" s="60"/>
    </row>
    <row r="46" spans="5:14" x14ac:dyDescent="0.35">
      <c r="E46" s="12"/>
      <c r="J46" s="12"/>
      <c r="K46" s="12"/>
      <c r="L46" s="12"/>
      <c r="M46" s="12"/>
      <c r="N46" s="12"/>
    </row>
  </sheetData>
  <phoneticPr fontId="5" type="noConversion"/>
  <pageMargins left="0.7" right="0.7" top="0.75" bottom="0.75" header="0.3" footer="0.3"/>
  <tableParts count="1"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A8B453-5BC6-4206-BA07-22D21A17F5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16</vt:i4>
      </vt:variant>
    </vt:vector>
  </HeadingPairs>
  <TitlesOfParts>
    <vt:vector size="21" baseType="lpstr">
      <vt:lpstr>Statut Global</vt:lpstr>
      <vt:lpstr>TAF</vt:lpstr>
      <vt:lpstr>Clients</vt:lpstr>
      <vt:lpstr>Data</vt:lpstr>
      <vt:lpstr>traitement</vt:lpstr>
      <vt:lpstr>CentreAffaireChellah</vt:lpstr>
      <vt:lpstr>CentreAffairesAgdal</vt:lpstr>
      <vt:lpstr>CentreAffairesAnfa</vt:lpstr>
      <vt:lpstr>CentreAffairesBoughaz</vt:lpstr>
      <vt:lpstr>CentreAffairesCentreVille</vt:lpstr>
      <vt:lpstr>CentreAffairesGueliz</vt:lpstr>
      <vt:lpstr>CentreAffairesHassan</vt:lpstr>
      <vt:lpstr>CentreAffairesHivernage</vt:lpstr>
      <vt:lpstr>CentreAffairesMaarif</vt:lpstr>
      <vt:lpstr>CentreAffairesPalmier</vt:lpstr>
      <vt:lpstr>clt</vt:lpstr>
      <vt:lpstr>cltt</vt:lpstr>
      <vt:lpstr>colab2</vt:lpstr>
      <vt:lpstr>colab3</vt:lpstr>
      <vt:lpstr>colab4</vt:lpstr>
      <vt:lpstr>jnr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rusha</dc:creator>
  <cp:lastModifiedBy>SADIKINA Imane</cp:lastModifiedBy>
  <dcterms:created xsi:type="dcterms:W3CDTF">2023-03-16T03:39:10Z</dcterms:created>
  <dcterms:modified xsi:type="dcterms:W3CDTF">2024-12-07T09:47:52Z</dcterms:modified>
</cp:coreProperties>
</file>